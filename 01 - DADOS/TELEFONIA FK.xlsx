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1" activeTab="1" autoFilterDateGrouping="1"/>
  </bookViews>
  <sheets>
    <sheet name="Relatório" sheetId="1" state="visible" r:id="rId1"/>
    <sheet name="Planos" sheetId="2" state="visible" r:id="rId2"/>
    <sheet name="Celulares - Patrimônio" sheetId="3" state="visible" r:id="rId3"/>
    <sheet name="Parcelamentos" sheetId="4" state="visible" r:id="rId4"/>
    <sheet name="Parcelamentos Finalizados" sheetId="5" state="visible" r:id="rId5"/>
    <sheet name="CHIPS Virgens" sheetId="6" state="visible" r:id="rId6"/>
  </sheets>
  <definedNames>
    <definedName name="_xlnm._FilterDatabase" localSheetId="1" hidden="1">'Planos'!$A$1:$L$708</definedName>
    <definedName name="_xlnm._FilterDatabase" localSheetId="2" hidden="1">'Celulares - Patrimônio'!$A$1:$V$239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R$&quot;\ * #,##0.00_-;\-&quot;R$&quot;\ * #,##0.00_-;_-&quot;R$&quot;\ * &quot;-&quot;??_-;_-@_-"/>
    <numFmt numFmtId="165" formatCode="[$-416]mmmm\-yy;@"/>
    <numFmt numFmtId="166" formatCode="&quot;R$&quot;\ #,##0.00"/>
    <numFmt numFmtId="167" formatCode="000000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  <scheme val="minor"/>
    </font>
    <font>
      <name val="Segoe U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00808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1" fillId="0" borderId="0"/>
    <xf numFmtId="44" fontId="1" fillId="0" borderId="0"/>
  </cellStyleXfs>
  <cellXfs count="9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14" fontId="0" fillId="0" borderId="0" applyAlignment="1" pivotButton="0" quotePrefix="0" xfId="0">
      <alignment horizontal="center"/>
    </xf>
    <xf numFmtId="49" fontId="4" fillId="3" borderId="2" applyAlignment="1" pivotButton="0" quotePrefix="0" xfId="0">
      <alignment horizontal="center" vertical="center"/>
    </xf>
    <xf numFmtId="49" fontId="4" fillId="3" borderId="3" applyAlignment="1" pivotButton="0" quotePrefix="0" xfId="0">
      <alignment horizontal="center" vertical="center"/>
    </xf>
    <xf numFmtId="14" fontId="4" fillId="3" borderId="4" applyAlignment="1" pivotButton="0" quotePrefix="0" xfId="0">
      <alignment horizontal="center" vertical="center"/>
    </xf>
    <xf numFmtId="49" fontId="8" fillId="0" borderId="5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14" fontId="8" fillId="0" borderId="6" applyAlignment="1" pivotButton="0" quotePrefix="0" xfId="0">
      <alignment horizontal="center" vertical="center"/>
    </xf>
    <xf numFmtId="14" fontId="8" fillId="0" borderId="6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49" fontId="8" fillId="0" borderId="8" applyAlignment="1" pivotButton="0" quotePrefix="0" xfId="0">
      <alignment horizontal="center" vertical="center"/>
    </xf>
    <xf numFmtId="14" fontId="8" fillId="0" borderId="9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top"/>
    </xf>
    <xf numFmtId="4" fontId="0" fillId="5" borderId="0" applyAlignment="1" pivotButton="0" quotePrefix="0" xfId="0">
      <alignment horizontal="center" vertical="center"/>
    </xf>
    <xf numFmtId="164" fontId="0" fillId="5" borderId="0" applyAlignment="1" pivotButton="0" quotePrefix="0" xfId="1">
      <alignment horizontal="center" vertical="center"/>
    </xf>
    <xf numFmtId="14" fontId="0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49" fontId="2" fillId="2" borderId="0" applyAlignment="1" pivotButton="0" quotePrefix="0" xfId="0">
      <alignment horizontal="center" vertical="center"/>
    </xf>
    <xf numFmtId="49" fontId="0" fillId="5" borderId="0" applyAlignment="1" pivotButton="0" quotePrefix="0" xfId="0">
      <alignment horizontal="center" vertical="center"/>
    </xf>
    <xf numFmtId="49" fontId="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49" fontId="0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49" fontId="4" fillId="3" borderId="0" applyAlignment="1" pivotButton="0" quotePrefix="0" xfId="0">
      <alignment horizontal="left" vertical="center"/>
    </xf>
    <xf numFmtId="14" fontId="4" fillId="3" borderId="0" applyAlignment="1" pivotButton="0" quotePrefix="0" xfId="0">
      <alignment horizontal="left" vertical="center"/>
    </xf>
    <xf numFmtId="166" fontId="4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9" fontId="3" fillId="4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166" fontId="3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/>
    </xf>
    <xf numFmtId="49" fontId="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/>
    </xf>
    <xf numFmtId="0" fontId="15" fillId="0" borderId="0" pivotButton="0" quotePrefix="0" xfId="0"/>
    <xf numFmtId="0" fontId="7" fillId="0" borderId="0" applyAlignment="1" pivotButton="0" quotePrefix="0" xfId="0">
      <alignment horizontal="center" vertical="center"/>
    </xf>
    <xf numFmtId="14" fontId="0" fillId="4" borderId="0" applyAlignment="1" pivotButton="0" quotePrefix="0" xfId="0">
      <alignment horizontal="left" vertical="center"/>
    </xf>
    <xf numFmtId="166" fontId="3" fillId="4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166" fontId="3" fillId="4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166" fontId="3" fillId="10" borderId="0" applyAlignment="1" pivotButton="0" quotePrefix="0" xfId="0">
      <alignment horizontal="left" vertical="center"/>
    </xf>
    <xf numFmtId="164" fontId="0" fillId="0" borderId="0" applyAlignment="1" pivotButton="0" quotePrefix="0" xfId="1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5" borderId="0" applyAlignment="1" pivotButton="0" quotePrefix="0" xfId="1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</cellXfs>
  <cellStyles count="2">
    <cellStyle name="Normal" xfId="0" builtinId="0"/>
    <cellStyle name="Moeda" xfId="1" builtinId="4"/>
  </cellStyles>
  <dxfs count="29"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FFFFFF"/>
      </font>
      <fill>
        <patternFill patternType="solid">
          <fgColor indexed="64"/>
          <bgColor rgb="FF0070C0"/>
        </patternFill>
      </fill>
    </dxf>
    <dxf>
      <font>
        <color rgb="FFFFFFFF"/>
      </font>
      <fill>
        <patternFill patternType="solid">
          <fgColor indexed="64"/>
          <bgColor rgb="FF7030A0"/>
        </patternFill>
      </fill>
    </dxf>
    <dxf>
      <fill>
        <patternFill>
          <bgColor rgb="FFFF9999"/>
        </patternFill>
      </fill>
    </dxf>
    <dxf>
      <fill>
        <patternFill>
          <bgColor rgb="FFFFE699"/>
        </patternFill>
      </fill>
    </dxf>
    <dxf>
      <fill>
        <patternFill>
          <bgColor theme="9" tint="0.5999633777886288"/>
        </patternFill>
      </fill>
    </dxf>
    <dxf>
      <fill>
        <patternFill>
          <bgColor rgb="FFFF9999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9999"/>
        </patternFill>
      </fill>
    </dxf>
    <dxf>
      <fill>
        <patternFill>
          <fgColor auto="1"/>
          <bgColor theme="9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4" tint="0.5999633777886288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alignment horizontal="center" vertical="center"/>
      <border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/>
      <border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border>
        <bottom style="thin">
          <color theme="0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000000"/>
          <bgColor rgb="FF008080"/>
        </patternFill>
      </fill>
      <alignment horizontal="center" vertical="center"/>
      <border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Chips" displayName="TabelaChips" ref="A1:F75" headerRowCount="1" totalsRowShown="0" headerRowDxfId="28" dataDxfId="26" headerRowBorderDxfId="27" tableBorderDxfId="25" totalsRowBorderDxfId="24">
  <autoFilter ref="A1:F75"/>
  <tableColumns count="6">
    <tableColumn id="1" name="OPERADORA" dataDxfId="23"/>
    <tableColumn id="2" name="LINHA" dataDxfId="22"/>
    <tableColumn id="3" name="ICCID" dataDxfId="21"/>
    <tableColumn id="4" name="STATUS" dataDxfId="20"/>
    <tableColumn id="5" name="DATA ATUALIZAÇÃO" dataDxfId="19"/>
    <tableColumn id="6" name="Coluna1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8" sqref="Q28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9"/>
  <sheetViews>
    <sheetView tabSelected="1" zoomScaleNormal="100" workbookViewId="0">
      <selection activeCell="J4" sqref="J4"/>
    </sheetView>
  </sheetViews>
  <sheetFormatPr baseColWidth="8" defaultRowHeight="15"/>
  <cols>
    <col width="15.42578125" bestFit="1" customWidth="1" style="4" min="1" max="1"/>
    <col width="13.140625" bestFit="1" customWidth="1" style="4" min="2" max="2"/>
    <col width="17.85546875" customWidth="1" style="4" min="3" max="3"/>
    <col width="13" customWidth="1" style="4" min="4" max="4"/>
    <col width="40.28515625" customWidth="1" style="4" min="5" max="5"/>
    <col width="15.140625" customWidth="1" style="17" min="6" max="6"/>
    <col width="51.28515625" customWidth="1" style="15" min="7" max="7"/>
    <col width="15.140625" customWidth="1" style="6" min="8" max="8"/>
    <col width="20.85546875" customWidth="1" style="1" min="9" max="9"/>
    <col width="13.28515625" customWidth="1" style="15" min="10" max="10"/>
    <col width="12.28515625" customWidth="1" style="82" min="11" max="11"/>
    <col width="18.28515625" customWidth="1" style="6" min="12" max="12"/>
    <col width="9.140625" customWidth="1" style="1" min="13" max="23"/>
    <col width="9.140625" customWidth="1" style="1" min="24" max="16384"/>
  </cols>
  <sheetData>
    <row r="1">
      <c r="A1" s="50" t="inlineStr">
        <is>
          <t>Num Conta</t>
        </is>
      </c>
      <c r="B1" s="50" t="inlineStr">
        <is>
          <t>Empresa</t>
        </is>
      </c>
      <c r="C1" s="50" t="inlineStr">
        <is>
          <t>Linha</t>
        </is>
      </c>
      <c r="D1" s="50" t="inlineStr">
        <is>
          <t>Cod CDC</t>
        </is>
      </c>
      <c r="E1" s="50" t="inlineStr">
        <is>
          <t>CDC</t>
        </is>
      </c>
      <c r="F1" s="51" t="inlineStr">
        <is>
          <t>Chapa/CPF</t>
        </is>
      </c>
      <c r="G1" s="50" t="inlineStr">
        <is>
          <t>Nome</t>
        </is>
      </c>
      <c r="H1" s="52" t="inlineStr">
        <is>
          <t>CPF</t>
        </is>
      </c>
      <c r="I1" s="52" t="inlineStr">
        <is>
          <t>DT FECHAMENTO</t>
        </is>
      </c>
      <c r="J1" s="83" t="inlineStr">
        <is>
          <t>Valor</t>
        </is>
      </c>
      <c r="K1" s="50" t="inlineStr">
        <is>
          <t>Status</t>
        </is>
      </c>
      <c r="L1" s="52" t="inlineStr">
        <is>
          <t>Dt Atualização</t>
        </is>
      </c>
    </row>
    <row r="2">
      <c r="A2" s="54" t="n">
        <v>212522538</v>
      </c>
      <c r="B2" s="54" t="inlineStr">
        <is>
          <t>VIVO</t>
        </is>
      </c>
      <c r="C2" s="54" t="n">
        <v>15996529321</v>
      </c>
      <c r="D2" s="54" t="inlineStr">
        <is>
          <t>2400</t>
        </is>
      </c>
      <c r="E2" s="54" t="inlineStr">
        <is>
          <t>DESENVOLVIMENTO SOCIAL</t>
        </is>
      </c>
      <c r="F2" s="49" t="n"/>
      <c r="G2" s="54" t="inlineStr">
        <is>
          <t>INACIO BRUM ADOLFO</t>
        </is>
      </c>
      <c r="H2" s="49" t="inlineStr">
        <is>
          <t>03609128003</t>
        </is>
      </c>
      <c r="I2" s="55" t="n">
        <v>46235</v>
      </c>
      <c r="J2" s="84" t="n">
        <v>39.59</v>
      </c>
      <c r="K2" s="57" t="inlineStr">
        <is>
          <t>ATIVA</t>
        </is>
      </c>
      <c r="L2" s="58" t="n">
        <v>46252</v>
      </c>
    </row>
    <row r="3">
      <c r="A3" s="54" t="n">
        <v>212522538</v>
      </c>
      <c r="B3" s="54" t="inlineStr">
        <is>
          <t>VIVO</t>
        </is>
      </c>
      <c r="C3" s="54" t="n">
        <v>15996664188</v>
      </c>
      <c r="D3" s="54" t="inlineStr">
        <is>
          <t>53292</t>
        </is>
      </c>
      <c r="E3" s="54" t="inlineStr">
        <is>
          <t>C08 - CMPC SAO GABRIEL LOGISTICA</t>
        </is>
      </c>
      <c r="F3" s="49" t="inlineStr">
        <is>
          <t>410101247</t>
        </is>
      </c>
      <c r="G3" s="54" t="inlineStr">
        <is>
          <t>ADAOZINHO FILHO STUDIER DA FONTOURA</t>
        </is>
      </c>
      <c r="H3" s="49" t="inlineStr">
        <is>
          <t>00737233044</t>
        </is>
      </c>
      <c r="I3" s="55" t="n">
        <v>46235</v>
      </c>
      <c r="J3" s="84" t="n">
        <v>39.59</v>
      </c>
      <c r="K3" s="57" t="inlineStr">
        <is>
          <t>ATIVA</t>
        </is>
      </c>
      <c r="L3" s="58" t="n">
        <v>46252</v>
      </c>
    </row>
    <row r="4">
      <c r="A4" s="54" t="n">
        <v>212522538</v>
      </c>
      <c r="B4" s="54" t="inlineStr">
        <is>
          <t>VIVO</t>
        </is>
      </c>
      <c r="C4" s="54" t="n">
        <v>15996025848</v>
      </c>
      <c r="D4" s="54" t="inlineStr">
        <is>
          <t>41301</t>
        </is>
      </c>
      <c r="E4" s="54" t="inlineStr">
        <is>
          <t>C05 - SUZANO LENCOIS PAULISTA</t>
        </is>
      </c>
      <c r="F4" s="49" t="inlineStr">
        <is>
          <t>010317409</t>
        </is>
      </c>
      <c r="G4" s="54" t="inlineStr">
        <is>
          <t>ADEMIR FERRARI</t>
        </is>
      </c>
      <c r="H4" s="49" t="inlineStr">
        <is>
          <t>17178481846</t>
        </is>
      </c>
      <c r="I4" s="55" t="n">
        <v>46235</v>
      </c>
      <c r="J4" s="84" t="n">
        <v>39.59</v>
      </c>
      <c r="K4" s="57" t="inlineStr">
        <is>
          <t>ATIVA</t>
        </is>
      </c>
      <c r="L4" s="58" t="n">
        <v>46252</v>
      </c>
    </row>
    <row r="5">
      <c r="A5" s="54" t="n">
        <v>212522538</v>
      </c>
      <c r="B5" s="54" t="inlineStr">
        <is>
          <t>VIVO</t>
        </is>
      </c>
      <c r="C5" s="54" t="n">
        <v>15996031461</v>
      </c>
      <c r="D5" s="54" t="inlineStr">
        <is>
          <t>42401</t>
        </is>
      </c>
      <c r="E5" s="54" t="inlineStr">
        <is>
          <t>C02 - SUZANO SMA</t>
        </is>
      </c>
      <c r="F5" s="49" t="inlineStr">
        <is>
          <t>010321220</t>
        </is>
      </c>
      <c r="G5" s="54" t="inlineStr">
        <is>
          <t>ADILSON MENDES DA SILVA</t>
        </is>
      </c>
      <c r="H5" s="49" t="inlineStr">
        <is>
          <t>13257574894</t>
        </is>
      </c>
      <c r="I5" s="55" t="n">
        <v>46235</v>
      </c>
      <c r="J5" s="84" t="n">
        <v>39.59</v>
      </c>
      <c r="K5" s="57" t="inlineStr">
        <is>
          <t>ATIVA</t>
        </is>
      </c>
      <c r="L5" s="58" t="n">
        <v>46252</v>
      </c>
    </row>
    <row r="6">
      <c r="A6" s="54" t="n">
        <v>212522538</v>
      </c>
      <c r="B6" s="54" t="inlineStr">
        <is>
          <t>VIVO</t>
        </is>
      </c>
      <c r="C6" s="54" t="n">
        <v>15996486041</v>
      </c>
      <c r="D6" s="54" t="inlineStr">
        <is>
          <t>42501</t>
        </is>
      </c>
      <c r="E6" s="54" t="inlineStr">
        <is>
          <t>C02 - BRACELL CBO</t>
        </is>
      </c>
      <c r="F6" s="49" t="inlineStr">
        <is>
          <t>010205950</t>
        </is>
      </c>
      <c r="G6" s="54" t="inlineStr">
        <is>
          <t>ADILSON VAZ DE OLIVEIRA</t>
        </is>
      </c>
      <c r="H6" s="49" t="inlineStr">
        <is>
          <t>32790662800</t>
        </is>
      </c>
      <c r="I6" s="55" t="n">
        <v>46235</v>
      </c>
      <c r="J6" s="84" t="n">
        <v>39.59</v>
      </c>
      <c r="K6" s="57" t="inlineStr">
        <is>
          <t>ATIVA</t>
        </is>
      </c>
      <c r="L6" s="58" t="n">
        <v>46252</v>
      </c>
    </row>
    <row r="7">
      <c r="A7" s="54" t="n">
        <v>212522538</v>
      </c>
      <c r="B7" s="54" t="inlineStr">
        <is>
          <t>VIVO</t>
        </is>
      </c>
      <c r="C7" s="54" t="n">
        <v>67998721816</v>
      </c>
      <c r="D7" s="54" t="inlineStr">
        <is>
          <t>41501</t>
        </is>
      </c>
      <c r="E7" s="54" t="inlineStr">
        <is>
          <t>C03 - BRACELL ITATINGA</t>
        </is>
      </c>
      <c r="F7" s="49" t="inlineStr">
        <is>
          <t>010316867</t>
        </is>
      </c>
      <c r="G7" s="54" t="inlineStr">
        <is>
          <t>ADRIAN EDUARDO DA SILVA</t>
        </is>
      </c>
      <c r="H7" s="49" t="inlineStr">
        <is>
          <t>47439855876</t>
        </is>
      </c>
      <c r="I7" s="55" t="n">
        <v>46235</v>
      </c>
      <c r="J7" s="84" t="n">
        <v>39.59</v>
      </c>
      <c r="K7" s="57" t="inlineStr">
        <is>
          <t>ATIVA</t>
        </is>
      </c>
      <c r="L7" s="58" t="n">
        <v>46252</v>
      </c>
    </row>
    <row r="8">
      <c r="A8" s="54" t="n">
        <v>212522538</v>
      </c>
      <c r="B8" s="54" t="inlineStr">
        <is>
          <t>VIVO</t>
        </is>
      </c>
      <c r="C8" s="54" t="n">
        <v>15998234434</v>
      </c>
      <c r="D8" s="54" t="inlineStr">
        <is>
          <t>41501</t>
        </is>
      </c>
      <c r="E8" s="54" t="inlineStr">
        <is>
          <t>C03 - BRACELL ITATINGA</t>
        </is>
      </c>
      <c r="F8" s="49" t="inlineStr">
        <is>
          <t>010316867</t>
        </is>
      </c>
      <c r="G8" s="54" t="inlineStr">
        <is>
          <t>ADRIAN EDUARDO DA SILVA</t>
        </is>
      </c>
      <c r="H8" s="49" t="inlineStr">
        <is>
          <t>47439855876</t>
        </is>
      </c>
      <c r="I8" s="55" t="n">
        <v>46235</v>
      </c>
      <c r="J8" s="84" t="n">
        <v>39.59</v>
      </c>
      <c r="K8" s="57" t="inlineStr">
        <is>
          <t>ATIVA</t>
        </is>
      </c>
      <c r="L8" s="58" t="n">
        <v>46252</v>
      </c>
    </row>
    <row r="9">
      <c r="A9" s="54" t="n">
        <v>212522538</v>
      </c>
      <c r="B9" s="54" t="inlineStr">
        <is>
          <t>VIVO</t>
        </is>
      </c>
      <c r="C9" s="54" t="n">
        <v>15997675412</v>
      </c>
      <c r="D9" s="54" t="inlineStr">
        <is>
          <t>14</t>
        </is>
      </c>
      <c r="E9" s="54" t="inlineStr">
        <is>
          <t>FINANCAS, PROCESSOS E FACILITIES</t>
        </is>
      </c>
      <c r="F9" s="49" t="inlineStr">
        <is>
          <t>00048494309</t>
        </is>
      </c>
      <c r="G9" s="54" t="inlineStr">
        <is>
          <t>Adriano Moraes</t>
        </is>
      </c>
      <c r="H9" s="49" t="inlineStr">
        <is>
          <t>48494309000101</t>
        </is>
      </c>
      <c r="I9" s="55" t="n">
        <v>46235</v>
      </c>
      <c r="J9" s="84" t="n">
        <v>39.59</v>
      </c>
      <c r="K9" s="57" t="inlineStr">
        <is>
          <t>ATIVA</t>
        </is>
      </c>
      <c r="L9" s="58" t="n">
        <v>46252</v>
      </c>
    </row>
    <row r="10">
      <c r="A10" s="54" t="n">
        <v>212522538</v>
      </c>
      <c r="B10" s="54" t="inlineStr">
        <is>
          <t>VIVO</t>
        </is>
      </c>
      <c r="C10" s="54" t="n">
        <v>15996845678</v>
      </c>
      <c r="D10" s="54" t="inlineStr">
        <is>
          <t>41600</t>
        </is>
      </c>
      <c r="E10" s="54" t="inlineStr">
        <is>
          <t>GESTAO OP EUCATEX ITATINGA</t>
        </is>
      </c>
      <c r="F10" s="49" t="inlineStr">
        <is>
          <t>010319028</t>
        </is>
      </c>
      <c r="G10" s="54" t="inlineStr">
        <is>
          <t>ADRIELI DOMINGUES DE OLIVEIRA</t>
        </is>
      </c>
      <c r="H10" s="49" t="inlineStr">
        <is>
          <t>47891729883</t>
        </is>
      </c>
      <c r="I10" s="55" t="n">
        <v>46235</v>
      </c>
      <c r="J10" s="84" t="n">
        <v>39.59</v>
      </c>
      <c r="K10" s="57" t="inlineStr">
        <is>
          <t>ATIVA</t>
        </is>
      </c>
      <c r="L10" s="58" t="n">
        <v>46252</v>
      </c>
    </row>
    <row r="11">
      <c r="A11" s="54" t="n">
        <v>212522538</v>
      </c>
      <c r="B11" s="54" t="inlineStr">
        <is>
          <t>VIVO</t>
        </is>
      </c>
      <c r="C11" s="54" t="n">
        <v>15996150397</v>
      </c>
      <c r="D11" s="54" t="n">
        <v>428</v>
      </c>
      <c r="E11" s="54" t="inlineStr">
        <is>
          <t>QUALIDADE SP2</t>
        </is>
      </c>
      <c r="F11" s="49" t="inlineStr">
        <is>
          <t>010221310</t>
        </is>
      </c>
      <c r="G11" s="54" t="inlineStr">
        <is>
          <t>AGHATA LARISSA DIAS DE OLIVEIRA</t>
        </is>
      </c>
      <c r="H11" s="49" t="inlineStr">
        <is>
          <t>45972080893</t>
        </is>
      </c>
      <c r="I11" s="55" t="n">
        <v>46235</v>
      </c>
      <c r="J11" s="84" t="n">
        <v>39.59</v>
      </c>
      <c r="K11" s="57" t="inlineStr">
        <is>
          <t>ATIVA</t>
        </is>
      </c>
      <c r="L11" s="58" t="n">
        <v>46252</v>
      </c>
    </row>
    <row r="12">
      <c r="A12" s="54" t="n">
        <v>212522538</v>
      </c>
      <c r="B12" s="54" t="inlineStr">
        <is>
          <t>VIVO</t>
        </is>
      </c>
      <c r="C12" s="54" t="n">
        <v>15997293710</v>
      </c>
      <c r="D12" s="54" t="inlineStr">
        <is>
          <t>71100</t>
        </is>
      </c>
      <c r="E12" s="54" t="inlineStr">
        <is>
          <t>P01 - ESCAVADEIRA HIDRAULICA</t>
        </is>
      </c>
      <c r="F12" s="49" t="inlineStr">
        <is>
          <t>010414089</t>
        </is>
      </c>
      <c r="G12" s="54" t="inlineStr">
        <is>
          <t>AILTON CARLOS BALBINO</t>
        </is>
      </c>
      <c r="H12" s="49" t="inlineStr">
        <is>
          <t>46956648873</t>
        </is>
      </c>
      <c r="I12" s="55" t="n">
        <v>46235</v>
      </c>
      <c r="J12" s="84" t="n">
        <v>39.59</v>
      </c>
      <c r="K12" s="57" t="inlineStr">
        <is>
          <t>ATIVA</t>
        </is>
      </c>
      <c r="L12" s="58" t="n">
        <v>46252</v>
      </c>
    </row>
    <row r="13">
      <c r="A13" s="54" t="n">
        <v>212522538</v>
      </c>
      <c r="B13" s="54" t="inlineStr">
        <is>
          <t>VIVO</t>
        </is>
      </c>
      <c r="C13" s="54" t="n">
        <v>15998014720</v>
      </c>
      <c r="D13" s="54" t="inlineStr">
        <is>
          <t>41201</t>
        </is>
      </c>
      <c r="E13" s="54" t="inlineStr">
        <is>
          <t>C05 - BRACELL DUARTINA</t>
        </is>
      </c>
      <c r="F13" s="49" t="inlineStr">
        <is>
          <t>010319111</t>
        </is>
      </c>
      <c r="G13" s="54" t="inlineStr">
        <is>
          <t>ALESSANDRO BEZERRA DA SILVA</t>
        </is>
      </c>
      <c r="H13" s="49" t="inlineStr">
        <is>
          <t>28668241800</t>
        </is>
      </c>
      <c r="I13" s="55" t="n">
        <v>46235</v>
      </c>
      <c r="J13" s="84" t="n">
        <v>39.59</v>
      </c>
      <c r="K13" s="57" t="inlineStr">
        <is>
          <t>ATIVA</t>
        </is>
      </c>
      <c r="L13" s="58" t="n">
        <v>46252</v>
      </c>
    </row>
    <row r="14">
      <c r="A14" s="54" t="n">
        <v>212522538</v>
      </c>
      <c r="B14" s="54" t="inlineStr">
        <is>
          <t>VIVO</t>
        </is>
      </c>
      <c r="C14" s="54" t="n">
        <v>15998537158</v>
      </c>
      <c r="D14" s="54" t="inlineStr">
        <is>
          <t>41500</t>
        </is>
      </c>
      <c r="E14" s="54" t="inlineStr">
        <is>
          <t>GESTAO OP BRACELL ITATINGA</t>
        </is>
      </c>
      <c r="F14" s="49" t="inlineStr">
        <is>
          <t>010323048</t>
        </is>
      </c>
      <c r="G14" s="54" t="inlineStr">
        <is>
          <t>ANGELICA GONCALVES CORREIA CARRAZEDO</t>
        </is>
      </c>
      <c r="H14" s="49" t="inlineStr">
        <is>
          <t>43401703803</t>
        </is>
      </c>
      <c r="I14" s="55" t="n">
        <v>46235</v>
      </c>
      <c r="J14" s="84" t="n">
        <v>39.59</v>
      </c>
      <c r="K14" s="57" t="inlineStr">
        <is>
          <t>ATIVA</t>
        </is>
      </c>
      <c r="L14" s="58" t="n">
        <v>46252</v>
      </c>
    </row>
    <row r="15">
      <c r="A15" s="54" t="n">
        <v>212522538</v>
      </c>
      <c r="B15" s="54" t="inlineStr">
        <is>
          <t>VIVO</t>
        </is>
      </c>
      <c r="C15" s="54" t="n">
        <v>51998640621</v>
      </c>
      <c r="D15" s="54" t="inlineStr">
        <is>
          <t>53290</t>
        </is>
      </c>
      <c r="E15" s="54" t="inlineStr">
        <is>
          <t>C08 - CMPC SAO GABRIEL MECANIZADO</t>
        </is>
      </c>
      <c r="F15" s="49" t="n">
        <v>410100578</v>
      </c>
      <c r="G15" s="54" t="inlineStr">
        <is>
          <t>ALEXANDRE TAMIOZZO SAVIAN</t>
        </is>
      </c>
      <c r="H15" s="49" t="inlineStr">
        <is>
          <t>71513370006</t>
        </is>
      </c>
      <c r="I15" s="55" t="n">
        <v>46235</v>
      </c>
      <c r="J15" s="84" t="n">
        <v>39.59</v>
      </c>
      <c r="K15" s="57" t="inlineStr">
        <is>
          <t>ATIVA</t>
        </is>
      </c>
      <c r="L15" s="58" t="n">
        <v>46252</v>
      </c>
    </row>
    <row r="16">
      <c r="A16" s="54" t="n">
        <v>212522538</v>
      </c>
      <c r="B16" s="54" t="inlineStr">
        <is>
          <t>VIVO</t>
        </is>
      </c>
      <c r="C16" s="54" t="n">
        <v>15996671825</v>
      </c>
      <c r="D16" s="54" t="inlineStr">
        <is>
          <t>2130</t>
        </is>
      </c>
      <c r="E16" s="54" t="inlineStr">
        <is>
          <t>SSMA SP3</t>
        </is>
      </c>
      <c r="F16" s="49" t="inlineStr">
        <is>
          <t>010321895</t>
        </is>
      </c>
      <c r="G16" s="54" t="inlineStr">
        <is>
          <t>ALEXIA PEREIRA DA SILVA</t>
        </is>
      </c>
      <c r="H16" s="49" t="inlineStr">
        <is>
          <t>52886873829</t>
        </is>
      </c>
      <c r="I16" s="55" t="n">
        <v>46235</v>
      </c>
      <c r="J16" s="84" t="n">
        <v>39.59</v>
      </c>
      <c r="K16" s="57" t="inlineStr">
        <is>
          <t>ATIVA</t>
        </is>
      </c>
      <c r="L16" s="58" t="n">
        <v>46252</v>
      </c>
    </row>
    <row r="17">
      <c r="A17" s="54" t="n">
        <v>212522538</v>
      </c>
      <c r="B17" s="54" t="inlineStr">
        <is>
          <t>VIVO</t>
        </is>
      </c>
      <c r="C17" s="54" t="n">
        <v>15997047151</v>
      </c>
      <c r="D17" s="54" t="inlineStr">
        <is>
          <t>42500</t>
        </is>
      </c>
      <c r="E17" s="54" t="inlineStr">
        <is>
          <t>GESTAO OP SUZANO CBO</t>
        </is>
      </c>
      <c r="F17" s="49" t="inlineStr">
        <is>
          <t>010221360</t>
        </is>
      </c>
      <c r="G17" s="54" t="inlineStr">
        <is>
          <t>ALINE APARECIDA BRISOLLA FERREIRA</t>
        </is>
      </c>
      <c r="H17" s="49" t="inlineStr">
        <is>
          <t>46011602860</t>
        </is>
      </c>
      <c r="I17" s="55" t="n">
        <v>46235</v>
      </c>
      <c r="J17" s="84" t="n">
        <v>39.59</v>
      </c>
      <c r="K17" s="57" t="inlineStr">
        <is>
          <t>ATIVA</t>
        </is>
      </c>
      <c r="L17" s="58" t="n">
        <v>46252</v>
      </c>
    </row>
    <row r="18">
      <c r="A18" s="54" t="n">
        <v>212522538</v>
      </c>
      <c r="B18" s="54" t="inlineStr">
        <is>
          <t>VIVO</t>
        </is>
      </c>
      <c r="C18" s="54" t="n">
        <v>15998106430</v>
      </c>
      <c r="D18" s="54" t="inlineStr">
        <is>
          <t>2142</t>
        </is>
      </c>
      <c r="E18" s="54" t="inlineStr">
        <is>
          <t>SSMA CACAPAVA</t>
        </is>
      </c>
      <c r="F18" s="49" t="inlineStr">
        <is>
          <t>010415778</t>
        </is>
      </c>
      <c r="G18" s="54" t="inlineStr">
        <is>
          <t>ALINE MOURA PINHEIRO</t>
        </is>
      </c>
      <c r="H18" s="49" t="inlineStr">
        <is>
          <t>37033950870</t>
        </is>
      </c>
      <c r="I18" s="55" t="n">
        <v>46235</v>
      </c>
      <c r="J18" s="84" t="n">
        <v>39.59</v>
      </c>
      <c r="K18" s="57" t="inlineStr">
        <is>
          <t>ATIVA</t>
        </is>
      </c>
      <c r="L18" s="58" t="n">
        <v>46252</v>
      </c>
    </row>
    <row r="19">
      <c r="A19" s="54" t="inlineStr">
        <is>
          <t>71768171</t>
        </is>
      </c>
      <c r="B19" s="54" t="inlineStr">
        <is>
          <t>TIM</t>
        </is>
      </c>
      <c r="C19" s="54" t="inlineStr">
        <is>
          <t>15981572760</t>
        </is>
      </c>
      <c r="D19" s="54" t="n">
        <v>510</v>
      </c>
      <c r="E19" s="54" t="inlineStr">
        <is>
          <t>GESTAO OP PR2</t>
        </is>
      </c>
      <c r="F19" s="49" t="n"/>
      <c r="G19" s="54" t="inlineStr">
        <is>
          <t>Aelcio Lopes Rocha</t>
        </is>
      </c>
      <c r="H19" s="49" t="n"/>
      <c r="I19" s="55" t="n">
        <v>46235</v>
      </c>
      <c r="J19" s="84" t="n">
        <v>35</v>
      </c>
      <c r="K19" s="54" t="inlineStr">
        <is>
          <t>VERIFICAR</t>
        </is>
      </c>
      <c r="L19" s="58" t="n">
        <v>46252</v>
      </c>
    </row>
    <row r="20">
      <c r="A20" s="54" t="n">
        <v>212522538</v>
      </c>
      <c r="B20" s="54" t="inlineStr">
        <is>
          <t>VIVO</t>
        </is>
      </c>
      <c r="C20" s="54" t="n">
        <v>15997138933</v>
      </c>
      <c r="D20" s="54" t="inlineStr">
        <is>
          <t>324</t>
        </is>
      </c>
      <c r="E20" s="54" t="inlineStr">
        <is>
          <t>QUALIDADE MS1</t>
        </is>
      </c>
      <c r="F20" s="49" t="inlineStr">
        <is>
          <t>210106822</t>
        </is>
      </c>
      <c r="G20" s="54" t="inlineStr">
        <is>
          <t>ALLAN HENRYK REIS GUERRA</t>
        </is>
      </c>
      <c r="H20" s="49" t="inlineStr">
        <is>
          <t>45004246874</t>
        </is>
      </c>
      <c r="I20" s="55" t="n">
        <v>46235</v>
      </c>
      <c r="J20" s="84" t="n">
        <v>39.59</v>
      </c>
      <c r="K20" s="57" t="inlineStr">
        <is>
          <t>ATIVA</t>
        </is>
      </c>
      <c r="L20" s="58" t="n">
        <v>46252</v>
      </c>
    </row>
    <row r="21">
      <c r="A21" s="54" t="n">
        <v>212522538</v>
      </c>
      <c r="B21" s="54" t="inlineStr">
        <is>
          <t>VIVO</t>
        </is>
      </c>
      <c r="C21" s="59" t="n">
        <v>67999455441</v>
      </c>
      <c r="D21" s="54" t="n">
        <v>42501</v>
      </c>
      <c r="E21" s="54" t="inlineStr">
        <is>
          <t>C02 - BRACELL CBO</t>
        </is>
      </c>
      <c r="F21" s="49" t="inlineStr">
        <is>
          <t>FROTA</t>
        </is>
      </c>
      <c r="G21" s="54" t="inlineStr">
        <is>
          <t>FROTA CBO - VERIFICAR</t>
        </is>
      </c>
      <c r="H21" s="49" t="n"/>
      <c r="I21" s="55" t="n">
        <v>46235</v>
      </c>
      <c r="J21" s="84" t="n">
        <v>54.63</v>
      </c>
      <c r="K21" s="54" t="inlineStr">
        <is>
          <t>VERIFICAR</t>
        </is>
      </c>
      <c r="L21" s="58" t="n">
        <v>46252</v>
      </c>
    </row>
    <row r="22">
      <c r="A22" s="54" t="n">
        <v>212522538</v>
      </c>
      <c r="B22" s="54" t="inlineStr">
        <is>
          <t>VIVO</t>
        </is>
      </c>
      <c r="C22" s="54" t="n">
        <v>67998175900</v>
      </c>
      <c r="D22" s="54" t="inlineStr">
        <is>
          <t>417</t>
        </is>
      </c>
      <c r="E22" s="54" t="inlineStr">
        <is>
          <t>QUALIDADE SP3</t>
        </is>
      </c>
      <c r="F22" s="49" t="inlineStr">
        <is>
          <t>010321830</t>
        </is>
      </c>
      <c r="G22" s="54" t="inlineStr">
        <is>
          <t>ALLICE LUZ DA SILVA SANTOS</t>
        </is>
      </c>
      <c r="H22" s="49" t="inlineStr">
        <is>
          <t>43912459819</t>
        </is>
      </c>
      <c r="I22" s="55" t="n">
        <v>46235</v>
      </c>
      <c r="J22" s="84" t="n">
        <v>54.63</v>
      </c>
      <c r="K22" s="57" t="inlineStr">
        <is>
          <t>ATIVA</t>
        </is>
      </c>
      <c r="L22" s="58" t="n">
        <v>46252</v>
      </c>
    </row>
    <row r="23">
      <c r="A23" s="54" t="n">
        <v>212522538</v>
      </c>
      <c r="B23" s="54" t="inlineStr">
        <is>
          <t>VIVO</t>
        </is>
      </c>
      <c r="C23" s="54" t="n">
        <v>15997915393</v>
      </c>
      <c r="D23" s="54" t="inlineStr">
        <is>
          <t>53201</t>
        </is>
      </c>
      <c r="E23" s="54" t="inlineStr">
        <is>
          <t>C08 - CMPC SAO GABRIEL MANUAL</t>
        </is>
      </c>
      <c r="F23" s="49" t="inlineStr">
        <is>
          <t>410100626</t>
        </is>
      </c>
      <c r="G23" s="54" t="inlineStr">
        <is>
          <t>ALVARO LEMOS MARTINS</t>
        </is>
      </c>
      <c r="H23" s="49" t="inlineStr">
        <is>
          <t>01269246003</t>
        </is>
      </c>
      <c r="I23" s="55" t="n">
        <v>46235</v>
      </c>
      <c r="J23" s="84" t="n">
        <v>49.13</v>
      </c>
      <c r="K23" s="57" t="inlineStr">
        <is>
          <t>ATIVA</t>
        </is>
      </c>
      <c r="L23" s="58" t="n">
        <v>46252</v>
      </c>
    </row>
    <row r="24">
      <c r="A24" s="54" t="n">
        <v>212522538</v>
      </c>
      <c r="B24" s="54" t="inlineStr">
        <is>
          <t>VIVO</t>
        </is>
      </c>
      <c r="C24" s="54" t="n">
        <v>15997106155</v>
      </c>
      <c r="D24" s="54" t="n">
        <v>42501</v>
      </c>
      <c r="E24" s="54" t="inlineStr">
        <is>
          <t>C02 - BRACELL CBO</t>
        </is>
      </c>
      <c r="F24" s="74" t="inlineStr">
        <is>
          <t>FROTA</t>
        </is>
      </c>
      <c r="G24" s="54" t="inlineStr">
        <is>
          <t>FROTA CBO - VERIFICAR</t>
        </is>
      </c>
      <c r="H24" s="49" t="n"/>
      <c r="I24" s="55" t="n">
        <v>46235</v>
      </c>
      <c r="J24" s="84" t="n">
        <v>39.59</v>
      </c>
      <c r="K24" s="54" t="inlineStr">
        <is>
          <t>VERIFICAR</t>
        </is>
      </c>
      <c r="L24" s="58" t="n">
        <v>46252</v>
      </c>
    </row>
    <row r="25">
      <c r="A25" s="54" t="n">
        <v>212522538</v>
      </c>
      <c r="B25" s="54" t="inlineStr">
        <is>
          <t>VIVO</t>
        </is>
      </c>
      <c r="C25" s="54" t="n">
        <v>67999652486</v>
      </c>
      <c r="D25" s="54" t="inlineStr">
        <is>
          <t>12</t>
        </is>
      </c>
      <c r="E25" s="54" t="inlineStr">
        <is>
          <t>SUPRIMENTOS E FROTAS</t>
        </is>
      </c>
      <c r="F25" s="49" t="inlineStr">
        <is>
          <t>010618867</t>
        </is>
      </c>
      <c r="G25" s="54" t="inlineStr">
        <is>
          <t>AMANDA DE CASSIA QUEIROZ</t>
        </is>
      </c>
      <c r="H25" s="49" t="inlineStr">
        <is>
          <t>53359315820</t>
        </is>
      </c>
      <c r="I25" s="55" t="n">
        <v>46235</v>
      </c>
      <c r="J25" s="84" t="n">
        <v>39.59</v>
      </c>
      <c r="K25" s="57" t="inlineStr">
        <is>
          <t>ATIVA</t>
        </is>
      </c>
      <c r="L25" s="58" t="n">
        <v>46252</v>
      </c>
    </row>
    <row r="26">
      <c r="A26" s="54" t="inlineStr">
        <is>
          <t>71768171</t>
        </is>
      </c>
      <c r="B26" s="54" t="inlineStr">
        <is>
          <t>TIM</t>
        </is>
      </c>
      <c r="C26" s="54" t="inlineStr">
        <is>
          <t>15981632365</t>
        </is>
      </c>
      <c r="D26" s="54" t="inlineStr">
        <is>
          <t>42501</t>
        </is>
      </c>
      <c r="E26" s="54" t="inlineStr">
        <is>
          <t>C02 - BRACELL CBO</t>
        </is>
      </c>
      <c r="F26" s="49" t="inlineStr">
        <is>
          <t>10315100</t>
        </is>
      </c>
      <c r="G26" s="54" t="inlineStr">
        <is>
          <t>Alan Mendes Garcia</t>
        </is>
      </c>
      <c r="H26" s="49" t="n"/>
      <c r="I26" s="55" t="n">
        <v>46235</v>
      </c>
      <c r="J26" s="84" t="n">
        <v>39.24</v>
      </c>
      <c r="K26" s="54" t="inlineStr">
        <is>
          <t>VERIFICAR</t>
        </is>
      </c>
      <c r="L26" s="58" t="n">
        <v>46252</v>
      </c>
    </row>
    <row r="27">
      <c r="A27" s="54" t="n">
        <v>212522538</v>
      </c>
      <c r="B27" s="54" t="inlineStr">
        <is>
          <t>VIVO</t>
        </is>
      </c>
      <c r="C27" s="54" t="n">
        <v>15998275991</v>
      </c>
      <c r="D27" s="54" t="inlineStr">
        <is>
          <t>12</t>
        </is>
      </c>
      <c r="E27" s="54" t="inlineStr">
        <is>
          <t>SUPRIMENTOS E FROTAS</t>
        </is>
      </c>
      <c r="F27" s="49" t="inlineStr">
        <is>
          <t>010618867</t>
        </is>
      </c>
      <c r="G27" s="54" t="inlineStr">
        <is>
          <t>AMANDA DE CASSIA QUEIROZ</t>
        </is>
      </c>
      <c r="H27" s="49" t="inlineStr">
        <is>
          <t>53359315820</t>
        </is>
      </c>
      <c r="I27" s="55" t="n">
        <v>46235</v>
      </c>
      <c r="J27" s="84" t="n">
        <v>39.59</v>
      </c>
      <c r="K27" s="57" t="inlineStr">
        <is>
          <t>ATIVA</t>
        </is>
      </c>
      <c r="L27" s="58" t="n">
        <v>46252</v>
      </c>
    </row>
    <row r="28">
      <c r="A28" s="54" t="n">
        <v>212522538</v>
      </c>
      <c r="B28" s="54" t="inlineStr">
        <is>
          <t>VIVO</t>
        </is>
      </c>
      <c r="C28" s="54" t="n">
        <v>15996660552</v>
      </c>
      <c r="D28" s="54" t="inlineStr">
        <is>
          <t>12</t>
        </is>
      </c>
      <c r="E28" s="54" t="inlineStr">
        <is>
          <t>SUPRIMENTOS E FROTAS</t>
        </is>
      </c>
      <c r="F28" s="49" t="inlineStr">
        <is>
          <t>010621785</t>
        </is>
      </c>
      <c r="G28" s="54" t="inlineStr">
        <is>
          <t>ANA BEATRIZ DOS SANTOS CAMARGO</t>
        </is>
      </c>
      <c r="H28" s="49" t="inlineStr">
        <is>
          <t>49369212892</t>
        </is>
      </c>
      <c r="I28" s="55" t="n">
        <v>46235</v>
      </c>
      <c r="J28" s="84" t="n">
        <v>39.59</v>
      </c>
      <c r="K28" s="57" t="inlineStr">
        <is>
          <t>ATIVA</t>
        </is>
      </c>
      <c r="L28" s="58" t="n">
        <v>46252</v>
      </c>
    </row>
    <row r="29">
      <c r="A29" s="54" t="inlineStr">
        <is>
          <t>71768171</t>
        </is>
      </c>
      <c r="B29" s="54" t="inlineStr">
        <is>
          <t>TIM</t>
        </is>
      </c>
      <c r="C29" s="54" t="inlineStr">
        <is>
          <t>15981267443</t>
        </is>
      </c>
      <c r="D29" s="54" t="inlineStr">
        <is>
          <t>510</t>
        </is>
      </c>
      <c r="E29" s="54" t="inlineStr">
        <is>
          <t>GESTAO OP PR2</t>
        </is>
      </c>
      <c r="F29" s="49" t="n"/>
      <c r="G29" s="54" t="inlineStr">
        <is>
          <t>Alex Correa De Oliveira</t>
        </is>
      </c>
      <c r="H29" s="49" t="n"/>
      <c r="I29" s="55" t="n">
        <v>46235</v>
      </c>
      <c r="J29" s="84" t="n">
        <v>32</v>
      </c>
      <c r="K29" s="54" t="inlineStr">
        <is>
          <t>VERIFICAR</t>
        </is>
      </c>
      <c r="L29" s="58" t="n">
        <v>46252</v>
      </c>
    </row>
    <row r="30">
      <c r="A30" s="54" t="inlineStr">
        <is>
          <t>71768171</t>
        </is>
      </c>
      <c r="B30" s="54" t="inlineStr">
        <is>
          <t>TIM</t>
        </is>
      </c>
      <c r="C30" s="54" t="inlineStr">
        <is>
          <t>15981470971</t>
        </is>
      </c>
      <c r="D30" s="54" t="inlineStr">
        <is>
          <t>42900</t>
        </is>
      </c>
      <c r="E30" s="54" t="inlineStr">
        <is>
          <t>GESTAO OP BRACELL CBO</t>
        </is>
      </c>
      <c r="F30" s="49" t="inlineStr">
        <is>
          <t>701001190</t>
        </is>
      </c>
      <c r="G30" s="54" t="inlineStr">
        <is>
          <t>ALEX DE OLIVEIRA BRAZ</t>
        </is>
      </c>
      <c r="H30" s="49" t="inlineStr">
        <is>
          <t>13054685977</t>
        </is>
      </c>
      <c r="I30" s="55" t="n">
        <v>46235</v>
      </c>
      <c r="J30" s="84" t="n">
        <v>32</v>
      </c>
      <c r="K30" s="57" t="inlineStr">
        <is>
          <t>ATIVA</t>
        </is>
      </c>
      <c r="L30" s="58" t="n">
        <v>46252</v>
      </c>
    </row>
    <row r="31">
      <c r="A31" s="54" t="n">
        <v>212522538</v>
      </c>
      <c r="B31" s="54" t="inlineStr">
        <is>
          <t>VIVO</t>
        </is>
      </c>
      <c r="C31" s="54" t="n">
        <v>15997532285</v>
      </c>
      <c r="D31" s="54" t="inlineStr">
        <is>
          <t>11</t>
        </is>
      </c>
      <c r="E31" s="54" t="inlineStr">
        <is>
          <t>CONTROLADORIA</t>
        </is>
      </c>
      <c r="F31" s="49" t="inlineStr">
        <is>
          <t>010621276</t>
        </is>
      </c>
      <c r="G31" s="54" t="inlineStr">
        <is>
          <t>ANA CAROLINE MEIRA NOVAES</t>
        </is>
      </c>
      <c r="H31" s="49" t="inlineStr">
        <is>
          <t>47985201874</t>
        </is>
      </c>
      <c r="I31" s="55" t="n">
        <v>46235</v>
      </c>
      <c r="J31" s="84" t="n">
        <v>39.59</v>
      </c>
      <c r="K31" s="57" t="inlineStr">
        <is>
          <t>ATIVA</t>
        </is>
      </c>
      <c r="L31" s="58" t="n">
        <v>46252</v>
      </c>
    </row>
    <row r="32">
      <c r="A32" s="54" t="inlineStr">
        <is>
          <t>71768171</t>
        </is>
      </c>
      <c r="B32" s="54" t="inlineStr">
        <is>
          <t>TIM</t>
        </is>
      </c>
      <c r="C32" s="54" t="inlineStr">
        <is>
          <t>15981470563</t>
        </is>
      </c>
      <c r="D32" s="54" t="inlineStr">
        <is>
          <t>01.09.01.102.01</t>
        </is>
      </c>
      <c r="E32" s="54" t="inlineStr">
        <is>
          <t>CONTRATO 013 - KLABIN CURIUVA</t>
        </is>
      </c>
      <c r="F32" s="49" t="inlineStr">
        <is>
          <t>010214483</t>
        </is>
      </c>
      <c r="G32" s="54" t="inlineStr">
        <is>
          <t>ALEXANDRE ALVES MONTEIRO</t>
        </is>
      </c>
      <c r="H32" s="49" t="inlineStr">
        <is>
          <t>08010767905</t>
        </is>
      </c>
      <c r="I32" s="55" t="n">
        <v>46235</v>
      </c>
      <c r="J32" s="84" t="n">
        <v>32</v>
      </c>
      <c r="K32" s="54" t="inlineStr">
        <is>
          <t>DESLIGADO</t>
        </is>
      </c>
      <c r="L32" s="58" t="n">
        <v>46252</v>
      </c>
    </row>
    <row r="33">
      <c r="A33" s="54" t="n">
        <v>212522538</v>
      </c>
      <c r="B33" s="54" t="inlineStr">
        <is>
          <t>VIVO</t>
        </is>
      </c>
      <c r="C33" s="54" t="n">
        <v>15997845615</v>
      </c>
      <c r="D33" s="54" t="n">
        <v>42300</v>
      </c>
      <c r="E33" s="68" t="inlineStr">
        <is>
          <t>GESTAO OP CACAPAVA</t>
        </is>
      </c>
      <c r="F33" s="49" t="inlineStr">
        <is>
          <t>FROTA</t>
        </is>
      </c>
      <c r="G33" s="74" t="inlineStr">
        <is>
          <t>FROTA CAÇAPAVA - VERIFICAR</t>
        </is>
      </c>
      <c r="H33" s="49" t="n"/>
      <c r="I33" s="55" t="n">
        <v>46235</v>
      </c>
      <c r="J33" s="84" t="n">
        <v>39.59</v>
      </c>
      <c r="K33" s="68" t="inlineStr">
        <is>
          <t>VERIFICAR</t>
        </is>
      </c>
      <c r="L33" s="58" t="n">
        <v>46252</v>
      </c>
    </row>
    <row r="34">
      <c r="A34" s="54" t="n">
        <v>212522538</v>
      </c>
      <c r="B34" s="54" t="inlineStr">
        <is>
          <t>VIVO</t>
        </is>
      </c>
      <c r="C34" s="54" t="n">
        <v>15998084063</v>
      </c>
      <c r="D34" s="54" t="inlineStr">
        <is>
          <t>41600</t>
        </is>
      </c>
      <c r="E34" s="54" t="inlineStr">
        <is>
          <t>GESTAO OP EUCATEX ITATINGA</t>
        </is>
      </c>
      <c r="F34" s="49" t="inlineStr">
        <is>
          <t>010322682</t>
        </is>
      </c>
      <c r="G34" s="54" t="inlineStr">
        <is>
          <t>ANA CLARA DE OLIVEIRA FELIX</t>
        </is>
      </c>
      <c r="H34" s="49" t="inlineStr">
        <is>
          <t>47991892808</t>
        </is>
      </c>
      <c r="I34" s="55" t="n">
        <v>46235</v>
      </c>
      <c r="J34" s="84" t="n">
        <v>39.59</v>
      </c>
      <c r="K34" s="57" t="inlineStr">
        <is>
          <t>ATIVA</t>
        </is>
      </c>
      <c r="L34" s="58" t="n">
        <v>46252</v>
      </c>
    </row>
    <row r="35">
      <c r="A35" s="54" t="n">
        <v>212522538</v>
      </c>
      <c r="B35" s="54" t="inlineStr">
        <is>
          <t>VIVO</t>
        </is>
      </c>
      <c r="C35" s="54" t="n">
        <v>15996775680</v>
      </c>
      <c r="D35" s="54" t="n">
        <v>41600</v>
      </c>
      <c r="E35" s="54" t="inlineStr">
        <is>
          <t>GESTAO OP EUCATEX ITATINGA</t>
        </is>
      </c>
      <c r="F35" s="49" t="inlineStr">
        <is>
          <t>010322682</t>
        </is>
      </c>
      <c r="G35" s="54" t="inlineStr">
        <is>
          <t>ANA CLARA DE OLIVEIRA FELIX</t>
        </is>
      </c>
      <c r="H35" s="49" t="inlineStr">
        <is>
          <t>47991892808</t>
        </is>
      </c>
      <c r="I35" s="55" t="n">
        <v>46235</v>
      </c>
      <c r="J35" s="84" t="n">
        <v>39.59</v>
      </c>
      <c r="K35" s="54" t="inlineStr">
        <is>
          <t>ATIVA</t>
        </is>
      </c>
      <c r="L35" s="58" t="n">
        <v>46252</v>
      </c>
    </row>
    <row r="36">
      <c r="A36" s="54" t="n">
        <v>212522538</v>
      </c>
      <c r="B36" s="54" t="inlineStr">
        <is>
          <t>VIVO</t>
        </is>
      </c>
      <c r="C36" s="54" t="n">
        <v>15996514811</v>
      </c>
      <c r="D36" s="54" t="inlineStr">
        <is>
          <t>10</t>
        </is>
      </c>
      <c r="E36" s="54" t="inlineStr">
        <is>
          <t>RECURSOS HUMANOS</t>
        </is>
      </c>
      <c r="F36" s="49" t="inlineStr">
        <is>
          <t>010521568</t>
        </is>
      </c>
      <c r="G36" s="54" t="inlineStr">
        <is>
          <t>ANA CLAUDIA FERREIRA DA SILVA</t>
        </is>
      </c>
      <c r="H36" s="49" t="inlineStr">
        <is>
          <t>15667475898</t>
        </is>
      </c>
      <c r="I36" s="55" t="n">
        <v>46235</v>
      </c>
      <c r="J36" s="84" t="n">
        <v>39.59</v>
      </c>
      <c r="K36" s="57" t="inlineStr">
        <is>
          <t>ATIVA</t>
        </is>
      </c>
      <c r="L36" s="58" t="n">
        <v>46252</v>
      </c>
    </row>
    <row r="37">
      <c r="A37" s="54" t="n">
        <v>212522538</v>
      </c>
      <c r="B37" s="54" t="inlineStr">
        <is>
          <t>VIVO</t>
        </is>
      </c>
      <c r="C37" s="54" t="n">
        <v>51995311449</v>
      </c>
      <c r="D37" s="54" t="inlineStr">
        <is>
          <t>12</t>
        </is>
      </c>
      <c r="E37" s="54" t="inlineStr">
        <is>
          <t>SUPRIMENTOS E FROTAS</t>
        </is>
      </c>
      <c r="F37" s="49" t="inlineStr">
        <is>
          <t>010622417</t>
        </is>
      </c>
      <c r="G37" s="54" t="inlineStr">
        <is>
          <t>LUCAS PRANCHES PONTES</t>
        </is>
      </c>
      <c r="H37" s="49" t="inlineStr">
        <is>
          <t>53506858807</t>
        </is>
      </c>
      <c r="I37" s="55" t="n">
        <v>46235</v>
      </c>
      <c r="J37" s="84" t="n">
        <v>39.59</v>
      </c>
      <c r="K37" s="57" t="inlineStr">
        <is>
          <t>ATIVA</t>
        </is>
      </c>
      <c r="L37" s="58" t="n">
        <v>46252</v>
      </c>
    </row>
    <row r="38">
      <c r="A38" s="54" t="n">
        <v>212522538</v>
      </c>
      <c r="B38" s="54" t="inlineStr">
        <is>
          <t>VIVO</t>
        </is>
      </c>
      <c r="C38" s="54" t="n">
        <v>15996378231</v>
      </c>
      <c r="D38" s="54" t="inlineStr">
        <is>
          <t>2100</t>
        </is>
      </c>
      <c r="E38" s="54" t="inlineStr">
        <is>
          <t>GESTAO SSMA</t>
        </is>
      </c>
      <c r="F38" s="60" t="inlineStr">
        <is>
          <t>48495341808</t>
        </is>
      </c>
      <c r="G38" s="54" t="inlineStr">
        <is>
          <t>ANA LUIZA RODRIGUES DE ALMEIDA</t>
        </is>
      </c>
      <c r="H38" s="49" t="inlineStr">
        <is>
          <t>48495341808</t>
        </is>
      </c>
      <c r="I38" s="55" t="n">
        <v>46235</v>
      </c>
      <c r="J38" s="84" t="n">
        <v>39.59</v>
      </c>
      <c r="K38" s="57" t="inlineStr">
        <is>
          <t>ATIVA</t>
        </is>
      </c>
      <c r="L38" s="58" t="n">
        <v>46252</v>
      </c>
    </row>
    <row r="39">
      <c r="A39" s="54" t="n">
        <v>212522538</v>
      </c>
      <c r="B39" s="54" t="inlineStr">
        <is>
          <t>VIVO</t>
        </is>
      </c>
      <c r="C39" s="54" t="n">
        <v>15996882668</v>
      </c>
      <c r="D39" s="54" t="inlineStr">
        <is>
          <t>10</t>
        </is>
      </c>
      <c r="E39" s="54" t="inlineStr">
        <is>
          <t>RECURSOS HUMANOS</t>
        </is>
      </c>
      <c r="F39" s="49" t="inlineStr">
        <is>
          <t>010815735</t>
        </is>
      </c>
      <c r="G39" s="54" t="inlineStr">
        <is>
          <t>ANA PAULA VASCONCELOS DOMINGUES OLIVEIRA</t>
        </is>
      </c>
      <c r="H39" s="49" t="inlineStr">
        <is>
          <t>34177064831</t>
        </is>
      </c>
      <c r="I39" s="55" t="n">
        <v>46235</v>
      </c>
      <c r="J39" s="84" t="n">
        <v>39.59</v>
      </c>
      <c r="K39" s="57" t="inlineStr">
        <is>
          <t>ATIVA</t>
        </is>
      </c>
      <c r="L39" s="58" t="n">
        <v>46252</v>
      </c>
    </row>
    <row r="40">
      <c r="A40" s="54" t="n">
        <v>212522538</v>
      </c>
      <c r="B40" s="54" t="inlineStr">
        <is>
          <t>VIVO</t>
        </is>
      </c>
      <c r="C40" s="54" t="n">
        <v>15996001517</v>
      </c>
      <c r="D40" s="54" t="inlineStr">
        <is>
          <t>42400</t>
        </is>
      </c>
      <c r="E40" s="54" t="inlineStr">
        <is>
          <t>GESTAO OP SMA</t>
        </is>
      </c>
      <c r="F40" s="49" t="inlineStr">
        <is>
          <t>010314649</t>
        </is>
      </c>
      <c r="G40" s="54" t="inlineStr">
        <is>
          <t>ANDERSON CARLOS RAMOS</t>
        </is>
      </c>
      <c r="H40" s="49" t="inlineStr">
        <is>
          <t>43763354875</t>
        </is>
      </c>
      <c r="I40" s="55" t="n">
        <v>46235</v>
      </c>
      <c r="J40" s="84" t="n">
        <v>39.59</v>
      </c>
      <c r="K40" s="57" t="inlineStr">
        <is>
          <t>ATIVA</t>
        </is>
      </c>
      <c r="L40" s="58" t="n">
        <v>46252</v>
      </c>
    </row>
    <row r="41">
      <c r="A41" s="54" t="n">
        <v>212522538</v>
      </c>
      <c r="B41" s="54" t="inlineStr">
        <is>
          <t>VIVO</t>
        </is>
      </c>
      <c r="C41" s="54" t="n">
        <v>15998070021</v>
      </c>
      <c r="D41" s="54" t="inlineStr">
        <is>
          <t>11</t>
        </is>
      </c>
      <c r="E41" s="54" t="inlineStr">
        <is>
          <t>CONTROLADORIA</t>
        </is>
      </c>
      <c r="F41" s="49" t="inlineStr">
        <is>
          <t>010617006</t>
        </is>
      </c>
      <c r="G41" s="54" t="inlineStr">
        <is>
          <t>ANDRESSA CATARINA PROENCA AMARAL</t>
        </is>
      </c>
      <c r="H41" s="49" t="inlineStr">
        <is>
          <t>47961798870</t>
        </is>
      </c>
      <c r="I41" s="55" t="n">
        <v>46235</v>
      </c>
      <c r="J41" s="84" t="n">
        <v>39.59</v>
      </c>
      <c r="K41" s="57" t="inlineStr">
        <is>
          <t>ATIVA</t>
        </is>
      </c>
      <c r="L41" s="58" t="n">
        <v>46252</v>
      </c>
    </row>
    <row r="42">
      <c r="A42" s="54" t="n">
        <v>212522538</v>
      </c>
      <c r="B42" s="54" t="inlineStr">
        <is>
          <t>VIVO</t>
        </is>
      </c>
      <c r="C42" s="54" t="n">
        <v>67999011883</v>
      </c>
      <c r="D42" s="54" t="inlineStr">
        <is>
          <t>12</t>
        </is>
      </c>
      <c r="E42" s="54" t="inlineStr">
        <is>
          <t>SUPRIMENTOS E FROTAS</t>
        </is>
      </c>
      <c r="F42" s="49" t="inlineStr">
        <is>
          <t>210102691</t>
        </is>
      </c>
      <c r="G42" s="54" t="inlineStr">
        <is>
          <t>ANGELICA APARECIDA PINTO</t>
        </is>
      </c>
      <c r="H42" s="49" t="inlineStr">
        <is>
          <t>28537485888</t>
        </is>
      </c>
      <c r="I42" s="55" t="n">
        <v>46235</v>
      </c>
      <c r="J42" s="84" t="n">
        <v>54.63</v>
      </c>
      <c r="K42" s="57" t="inlineStr">
        <is>
          <t>ATIVA</t>
        </is>
      </c>
      <c r="L42" s="58" t="n">
        <v>46252</v>
      </c>
    </row>
    <row r="43">
      <c r="A43" s="54" t="n">
        <v>212522538</v>
      </c>
      <c r="B43" s="54" t="inlineStr">
        <is>
          <t>VIVO</t>
        </is>
      </c>
      <c r="C43" s="54" t="n">
        <v>15996022471</v>
      </c>
      <c r="D43" s="54" t="inlineStr">
        <is>
          <t>41500</t>
        </is>
      </c>
      <c r="E43" s="54" t="inlineStr">
        <is>
          <t>GESTAO OP BRACELL ITATINGA</t>
        </is>
      </c>
      <c r="F43" s="49" t="inlineStr">
        <is>
          <t>010323048</t>
        </is>
      </c>
      <c r="G43" s="54" t="inlineStr">
        <is>
          <t>ANGELICA GONCALVES CORREIA CARRAZEDO</t>
        </is>
      </c>
      <c r="H43" s="49" t="inlineStr">
        <is>
          <t>43401703803</t>
        </is>
      </c>
      <c r="I43" s="55" t="n">
        <v>46235</v>
      </c>
      <c r="J43" s="84" t="n">
        <v>39.59</v>
      </c>
      <c r="K43" s="57" t="inlineStr">
        <is>
          <t>ATIVA</t>
        </is>
      </c>
      <c r="L43" s="58" t="n">
        <v>46252</v>
      </c>
    </row>
    <row r="44">
      <c r="A44" s="54" t="n">
        <v>212522538</v>
      </c>
      <c r="B44" s="54" t="inlineStr">
        <is>
          <t>VIVO</t>
        </is>
      </c>
      <c r="C44" s="54" t="n">
        <v>15991837551</v>
      </c>
      <c r="D44" s="54" t="inlineStr">
        <is>
          <t>410</t>
        </is>
      </c>
      <c r="E44" s="54" t="inlineStr">
        <is>
          <t>GESTAO OP SP3</t>
        </is>
      </c>
      <c r="F44" s="49" t="inlineStr">
        <is>
          <t>00041985479</t>
        </is>
      </c>
      <c r="G44" s="54" t="inlineStr">
        <is>
          <t>Antônio Carlos de Jesus</t>
        </is>
      </c>
      <c r="H44" s="49" t="inlineStr">
        <is>
          <t>41985479000140</t>
        </is>
      </c>
      <c r="I44" s="55" t="n">
        <v>46235</v>
      </c>
      <c r="J44" s="84" t="n">
        <v>39.59</v>
      </c>
      <c r="K44" s="57" t="inlineStr">
        <is>
          <t>ATIVA</t>
        </is>
      </c>
      <c r="L44" s="58" t="n">
        <v>46252</v>
      </c>
    </row>
    <row r="45">
      <c r="A45" s="54" t="n">
        <v>212522538</v>
      </c>
      <c r="B45" s="54" t="inlineStr">
        <is>
          <t>VIVO</t>
        </is>
      </c>
      <c r="C45" s="54" t="n">
        <v>15991832521</v>
      </c>
      <c r="D45" s="54" t="inlineStr">
        <is>
          <t>13</t>
        </is>
      </c>
      <c r="E45" s="54" t="inlineStr">
        <is>
          <t>DIRETORIA E AUDITORIA</t>
        </is>
      </c>
      <c r="F45" s="49" t="inlineStr">
        <is>
          <t>00059284766</t>
        </is>
      </c>
      <c r="G45" s="54" t="inlineStr">
        <is>
          <t>Antonio Paulo Monteiro</t>
        </is>
      </c>
      <c r="H45" s="49" t="inlineStr">
        <is>
          <t>59284766000198</t>
        </is>
      </c>
      <c r="I45" s="55" t="n">
        <v>46235</v>
      </c>
      <c r="J45" s="84" t="n">
        <v>39.59</v>
      </c>
      <c r="K45" s="57" t="inlineStr">
        <is>
          <t>ATIVA</t>
        </is>
      </c>
      <c r="L45" s="58" t="n">
        <v>46252</v>
      </c>
    </row>
    <row r="46">
      <c r="A46" s="54" t="n">
        <v>212522538</v>
      </c>
      <c r="B46" s="54" t="inlineStr">
        <is>
          <t>VIVO</t>
        </is>
      </c>
      <c r="C46" s="54" t="n">
        <v>13997880513</v>
      </c>
      <c r="D46" s="54" t="inlineStr">
        <is>
          <t>32200</t>
        </is>
      </c>
      <c r="E46" s="54" t="inlineStr">
        <is>
          <t>GESTAO OP AGUA CLARA</t>
        </is>
      </c>
      <c r="F46" s="49" t="inlineStr">
        <is>
          <t>210105379</t>
        </is>
      </c>
      <c r="G46" s="54" t="inlineStr">
        <is>
          <t>ARTHUR VINICIUS CAMILO QUEIROZ</t>
        </is>
      </c>
      <c r="H46" s="49" t="inlineStr">
        <is>
          <t>05736077108</t>
        </is>
      </c>
      <c r="I46" s="55" t="n">
        <v>46235</v>
      </c>
      <c r="J46" s="84" t="n">
        <v>39.59</v>
      </c>
      <c r="K46" s="57" t="inlineStr">
        <is>
          <t>ATIVA</t>
        </is>
      </c>
      <c r="L46" s="58" t="n">
        <v>46252</v>
      </c>
    </row>
    <row r="47">
      <c r="A47" s="54" t="n">
        <v>212522538</v>
      </c>
      <c r="B47" s="54" t="inlineStr">
        <is>
          <t>VIVO</t>
        </is>
      </c>
      <c r="C47" s="54" t="n">
        <v>15996949360</v>
      </c>
      <c r="D47" s="54" t="inlineStr">
        <is>
          <t>2134</t>
        </is>
      </c>
      <c r="E47" s="54" t="inlineStr">
        <is>
          <t>SSMA BRACELL ITATINGA</t>
        </is>
      </c>
      <c r="F47" s="49" t="inlineStr">
        <is>
          <t>010320719</t>
        </is>
      </c>
      <c r="G47" s="54" t="inlineStr">
        <is>
          <t>AUGUSTO CESAR ALVES</t>
        </is>
      </c>
      <c r="H47" s="49" t="inlineStr">
        <is>
          <t>45928790821</t>
        </is>
      </c>
      <c r="I47" s="55" t="n">
        <v>46235</v>
      </c>
      <c r="J47" s="84" t="n">
        <v>39.59</v>
      </c>
      <c r="K47" s="57" t="inlineStr">
        <is>
          <t>ATIVA</t>
        </is>
      </c>
      <c r="L47" s="58" t="n">
        <v>46252</v>
      </c>
    </row>
    <row r="48">
      <c r="A48" s="54" t="inlineStr">
        <is>
          <t>71768171</t>
        </is>
      </c>
      <c r="B48" s="54" t="inlineStr">
        <is>
          <t>TIM</t>
        </is>
      </c>
      <c r="C48" s="54" t="inlineStr">
        <is>
          <t>15981820464</t>
        </is>
      </c>
      <c r="D48" s="54" t="inlineStr">
        <is>
          <t>10</t>
        </is>
      </c>
      <c r="E48" s="54" t="inlineStr">
        <is>
          <t>RECURSOS HUMANOS</t>
        </is>
      </c>
      <c r="F48" s="49" t="n"/>
      <c r="G48" s="54" t="inlineStr">
        <is>
          <t>Ana Maria Favoretto</t>
        </is>
      </c>
      <c r="H48" s="49" t="n"/>
      <c r="I48" s="55" t="n">
        <v>46235</v>
      </c>
      <c r="J48" s="84" t="n">
        <v>35</v>
      </c>
      <c r="K48" s="54" t="inlineStr">
        <is>
          <t>VERIFICAR</t>
        </is>
      </c>
      <c r="L48" s="58" t="n">
        <v>46252</v>
      </c>
    </row>
    <row r="49">
      <c r="A49" s="54" t="n">
        <v>212522538</v>
      </c>
      <c r="B49" s="54" t="inlineStr">
        <is>
          <t>VIVO</t>
        </is>
      </c>
      <c r="C49" s="54" t="n">
        <v>15997087325</v>
      </c>
      <c r="D49" s="54" t="n">
        <v>10</v>
      </c>
      <c r="E49" s="54" t="inlineStr">
        <is>
          <t>RECURSOS HUMANOS</t>
        </is>
      </c>
      <c r="F49" s="49" t="inlineStr">
        <is>
          <t>010321296</t>
        </is>
      </c>
      <c r="G49" s="54" t="inlineStr">
        <is>
          <t>AYANNE TASSIS SOUZA ROCHA</t>
        </is>
      </c>
      <c r="H49" s="49" t="inlineStr">
        <is>
          <t>47162027806</t>
        </is>
      </c>
      <c r="I49" s="55" t="n">
        <v>46235</v>
      </c>
      <c r="J49" s="84" t="n">
        <v>39.59</v>
      </c>
      <c r="K49" s="57" t="inlineStr">
        <is>
          <t>ATIVA</t>
        </is>
      </c>
      <c r="L49" s="58" t="n">
        <v>46252</v>
      </c>
    </row>
    <row r="50">
      <c r="A50" s="54" t="n">
        <v>212522538</v>
      </c>
      <c r="B50" s="54" t="inlineStr">
        <is>
          <t>VIVO</t>
        </is>
      </c>
      <c r="C50" s="54" t="n">
        <v>15998233707</v>
      </c>
      <c r="D50" s="54" t="inlineStr">
        <is>
          <t>41600</t>
        </is>
      </c>
      <c r="E50" s="54" t="inlineStr">
        <is>
          <t>GESTAO OP EUCATEX ITATINGA</t>
        </is>
      </c>
      <c r="F50" s="49" t="inlineStr">
        <is>
          <t>010322979</t>
        </is>
      </c>
      <c r="G50" s="54" t="inlineStr">
        <is>
          <t>BIANCA BARBOSA</t>
        </is>
      </c>
      <c r="H50" s="49" t="inlineStr">
        <is>
          <t>52662122846</t>
        </is>
      </c>
      <c r="I50" s="55" t="n">
        <v>46235</v>
      </c>
      <c r="J50" s="84" t="n">
        <v>39.59</v>
      </c>
      <c r="K50" s="57" t="inlineStr">
        <is>
          <t>ATIVA</t>
        </is>
      </c>
      <c r="L50" s="58" t="n">
        <v>46252</v>
      </c>
    </row>
    <row r="51">
      <c r="A51" s="54" t="inlineStr">
        <is>
          <t>71768171</t>
        </is>
      </c>
      <c r="B51" s="54" t="inlineStr">
        <is>
          <t>TIM</t>
        </is>
      </c>
      <c r="C51" s="54" t="inlineStr">
        <is>
          <t>15981632294</t>
        </is>
      </c>
      <c r="D51" s="54" t="inlineStr">
        <is>
          <t>51301</t>
        </is>
      </c>
      <c r="E51" s="54" t="inlineStr">
        <is>
          <t>C13 - KLABIN CURIUVA</t>
        </is>
      </c>
      <c r="F51" s="49" t="n"/>
      <c r="G51" s="54" t="inlineStr">
        <is>
          <t>Andre Fernandes Ayala / Wagner Chaves Luciano</t>
        </is>
      </c>
      <c r="H51" s="49" t="n"/>
      <c r="I51" s="55" t="n">
        <v>46235</v>
      </c>
      <c r="J51" s="84" t="n">
        <v>39.24</v>
      </c>
      <c r="K51" s="54" t="inlineStr">
        <is>
          <t>VERIFICAR</t>
        </is>
      </c>
      <c r="L51" s="58" t="n">
        <v>46252</v>
      </c>
    </row>
    <row r="52">
      <c r="A52" s="54" t="inlineStr">
        <is>
          <t>71768171</t>
        </is>
      </c>
      <c r="B52" s="54" t="inlineStr">
        <is>
          <t>TIM</t>
        </is>
      </c>
      <c r="C52" s="54" t="inlineStr">
        <is>
          <t>15981910118</t>
        </is>
      </c>
      <c r="D52" s="54" t="inlineStr">
        <is>
          <t>510</t>
        </is>
      </c>
      <c r="E52" s="54" t="inlineStr">
        <is>
          <t>GESTAO OP PR2</t>
        </is>
      </c>
      <c r="F52" s="49" t="inlineStr">
        <is>
          <t>701002871</t>
        </is>
      </c>
      <c r="G52" s="54" t="inlineStr">
        <is>
          <t>CRISLAINE CRISTINA DE OLIVEIRA CARVALHO</t>
        </is>
      </c>
      <c r="H52" s="49" t="inlineStr">
        <is>
          <t>09228296917</t>
        </is>
      </c>
      <c r="I52" s="55" t="n">
        <v>46235</v>
      </c>
      <c r="J52" s="84" t="n">
        <v>36.5</v>
      </c>
      <c r="K52" s="54" t="inlineStr">
        <is>
          <t>ATIVA</t>
        </is>
      </c>
      <c r="L52" s="58" t="n">
        <v>46252</v>
      </c>
    </row>
    <row r="53">
      <c r="A53" s="54" t="n">
        <v>212522538</v>
      </c>
      <c r="B53" s="54" t="inlineStr">
        <is>
          <t>VIVO</t>
        </is>
      </c>
      <c r="C53" s="54" t="n">
        <v>15996045575</v>
      </c>
      <c r="D53" s="54" t="inlineStr">
        <is>
          <t>42500</t>
        </is>
      </c>
      <c r="E53" s="54" t="inlineStr">
        <is>
          <t>GESTAO OP SUZANO CBO</t>
        </is>
      </c>
      <c r="F53" s="49" t="inlineStr">
        <is>
          <t>010211688</t>
        </is>
      </c>
      <c r="G53" s="54" t="inlineStr">
        <is>
          <t>BRASILIO BATISTA DE QUEIROZ</t>
        </is>
      </c>
      <c r="H53" s="49" t="inlineStr">
        <is>
          <t>42483224806</t>
        </is>
      </c>
      <c r="I53" s="55" t="n">
        <v>46235</v>
      </c>
      <c r="J53" s="84" t="n">
        <v>39.59</v>
      </c>
      <c r="K53" s="57" t="inlineStr">
        <is>
          <t>ATIVA</t>
        </is>
      </c>
      <c r="L53" s="58" t="n">
        <v>46252</v>
      </c>
    </row>
    <row r="54">
      <c r="A54" s="54" t="inlineStr">
        <is>
          <t>71768171</t>
        </is>
      </c>
      <c r="B54" s="54" t="inlineStr">
        <is>
          <t>TIM</t>
        </is>
      </c>
      <c r="C54" s="54" t="inlineStr">
        <is>
          <t>15981700305</t>
        </is>
      </c>
      <c r="D54" s="54" t="inlineStr">
        <is>
          <t>14</t>
        </is>
      </c>
      <c r="E54" s="54" t="inlineStr">
        <is>
          <t>FINANCAS, PROCESSOS E FACILITIES</t>
        </is>
      </c>
      <c r="F54" s="49" t="n"/>
      <c r="G54" s="54" t="inlineStr">
        <is>
          <t>ANDRESSA SOUZA SALUSTIANO</t>
        </is>
      </c>
      <c r="H54" s="49" t="inlineStr">
        <is>
          <t>06994071928</t>
        </is>
      </c>
      <c r="I54" s="55" t="n">
        <v>46235</v>
      </c>
      <c r="J54" s="84" t="n">
        <v>38.02</v>
      </c>
      <c r="K54" s="57" t="inlineStr">
        <is>
          <t>ATIVA</t>
        </is>
      </c>
      <c r="L54" s="58" t="n">
        <v>46252</v>
      </c>
    </row>
    <row r="55">
      <c r="A55" s="54" t="n">
        <v>212522538</v>
      </c>
      <c r="B55" s="54" t="inlineStr">
        <is>
          <t>VIVO</t>
        </is>
      </c>
      <c r="C55" s="54" t="n">
        <v>15998539806</v>
      </c>
      <c r="D55" s="54" t="n">
        <v>13</v>
      </c>
      <c r="E55" s="54" t="inlineStr">
        <is>
          <t>DIRETORIA E AUDITORIA</t>
        </is>
      </c>
      <c r="F55" s="49" t="inlineStr">
        <is>
          <t>EM ESTOQUE</t>
        </is>
      </c>
      <c r="G55" s="54" t="inlineStr">
        <is>
          <t>EM ESTOQUE</t>
        </is>
      </c>
      <c r="H55" s="49" t="n"/>
      <c r="I55" s="55" t="n">
        <v>46235</v>
      </c>
      <c r="J55" s="84" t="n">
        <v>39.59</v>
      </c>
      <c r="K55" s="57" t="inlineStr">
        <is>
          <t>ESTOQUE</t>
        </is>
      </c>
      <c r="L55" s="58" t="n">
        <v>46252</v>
      </c>
    </row>
    <row r="56">
      <c r="A56" s="54" t="n">
        <v>212522538</v>
      </c>
      <c r="B56" s="54" t="inlineStr">
        <is>
          <t>VIVO</t>
        </is>
      </c>
      <c r="C56" s="54" t="n">
        <v>15998564147</v>
      </c>
      <c r="D56" s="54" t="inlineStr">
        <is>
          <t>42500</t>
        </is>
      </c>
      <c r="E56" s="54" t="inlineStr">
        <is>
          <t>GESTAO OP SUZANO CBO</t>
        </is>
      </c>
      <c r="F56" s="49" t="inlineStr">
        <is>
          <t>010211688</t>
        </is>
      </c>
      <c r="G56" s="54" t="inlineStr">
        <is>
          <t>BRASILIO BATISTA DE QUEIROZ</t>
        </is>
      </c>
      <c r="H56" s="49" t="inlineStr">
        <is>
          <t>42483224806</t>
        </is>
      </c>
      <c r="I56" s="55" t="n">
        <v>46235</v>
      </c>
      <c r="J56" s="84" t="n">
        <v>39.59</v>
      </c>
      <c r="K56" s="57" t="inlineStr">
        <is>
          <t>ATIVA</t>
        </is>
      </c>
      <c r="L56" s="58" t="n">
        <v>46252</v>
      </c>
    </row>
    <row r="57">
      <c r="A57" s="54" t="n">
        <v>212522538</v>
      </c>
      <c r="B57" s="54" t="inlineStr">
        <is>
          <t>VIVO</t>
        </is>
      </c>
      <c r="C57" s="54" t="n">
        <v>15998278114</v>
      </c>
      <c r="D57" s="54" t="inlineStr">
        <is>
          <t>42500</t>
        </is>
      </c>
      <c r="E57" s="54" t="inlineStr">
        <is>
          <t>GESTAO OP SUZANO CBO</t>
        </is>
      </c>
      <c r="F57" s="49" t="inlineStr">
        <is>
          <t>010211688</t>
        </is>
      </c>
      <c r="G57" s="54" t="inlineStr">
        <is>
          <t>BRASILIO BATISTA DE QUEIROZ</t>
        </is>
      </c>
      <c r="H57" s="49" t="inlineStr">
        <is>
          <t>42483224806</t>
        </is>
      </c>
      <c r="I57" s="55" t="n">
        <v>46235</v>
      </c>
      <c r="J57" s="84" t="n">
        <v>39.59</v>
      </c>
      <c r="K57" s="57" t="inlineStr">
        <is>
          <t>ATIVA</t>
        </is>
      </c>
      <c r="L57" s="58" t="n">
        <v>46252</v>
      </c>
    </row>
    <row r="58">
      <c r="A58" s="54" t="n">
        <v>212522538</v>
      </c>
      <c r="B58" s="54" t="inlineStr">
        <is>
          <t>VIVO</t>
        </is>
      </c>
      <c r="C58" s="54" t="n">
        <v>15996548708</v>
      </c>
      <c r="D58" s="54" t="inlineStr">
        <is>
          <t>10</t>
        </is>
      </c>
      <c r="E58" s="54" t="inlineStr">
        <is>
          <t>RECURSOS HUMANOS</t>
        </is>
      </c>
      <c r="F58" s="49" t="inlineStr">
        <is>
          <t>010416812</t>
        </is>
      </c>
      <c r="G58" s="54" t="inlineStr">
        <is>
          <t>BRUNA DE OLIVEIRA RAMOS</t>
        </is>
      </c>
      <c r="H58" s="49" t="inlineStr">
        <is>
          <t>46334832859</t>
        </is>
      </c>
      <c r="I58" s="55" t="n">
        <v>46235</v>
      </c>
      <c r="J58" s="84" t="n">
        <v>39.59</v>
      </c>
      <c r="K58" s="57" t="inlineStr">
        <is>
          <t>ATIVA</t>
        </is>
      </c>
      <c r="L58" s="58" t="n">
        <v>46252</v>
      </c>
    </row>
    <row r="59">
      <c r="A59" s="54" t="inlineStr">
        <is>
          <t>71768171</t>
        </is>
      </c>
      <c r="B59" s="54" t="inlineStr">
        <is>
          <t>TIM</t>
        </is>
      </c>
      <c r="C59" s="54" t="inlineStr">
        <is>
          <t>15981520024</t>
        </is>
      </c>
      <c r="D59" s="54" t="inlineStr">
        <is>
          <t>410</t>
        </is>
      </c>
      <c r="E59" s="54" t="inlineStr">
        <is>
          <t>GESTAO OP SP3</t>
        </is>
      </c>
      <c r="F59" s="49" t="n"/>
      <c r="G59" s="54" t="inlineStr">
        <is>
          <t>Antônio Carlos de Jesus</t>
        </is>
      </c>
      <c r="H59" s="49" t="inlineStr">
        <is>
          <t>41985479000140</t>
        </is>
      </c>
      <c r="I59" s="55" t="n">
        <v>46235</v>
      </c>
      <c r="J59" s="84" t="n">
        <v>35</v>
      </c>
      <c r="K59" s="57" t="inlineStr">
        <is>
          <t>ATIVA</t>
        </is>
      </c>
      <c r="L59" s="58" t="n">
        <v>46252</v>
      </c>
    </row>
    <row r="60">
      <c r="A60" s="54" t="n">
        <v>212522538</v>
      </c>
      <c r="B60" s="54" t="inlineStr">
        <is>
          <t>VIVO</t>
        </is>
      </c>
      <c r="C60" s="54" t="n">
        <v>15998566008</v>
      </c>
      <c r="D60" s="54" t="inlineStr">
        <is>
          <t>12</t>
        </is>
      </c>
      <c r="E60" s="54" t="inlineStr">
        <is>
          <t>SUPRIMENTOS E FROTAS</t>
        </is>
      </c>
      <c r="F60" s="49" t="inlineStr">
        <is>
          <t>010317714</t>
        </is>
      </c>
      <c r="G60" s="54" t="inlineStr">
        <is>
          <t>BRUNA EDUARDA SEMINENCO ZANATTA</t>
        </is>
      </c>
      <c r="H60" s="49" t="inlineStr">
        <is>
          <t>49169541817</t>
        </is>
      </c>
      <c r="I60" s="55" t="n">
        <v>46235</v>
      </c>
      <c r="J60" s="84" t="n">
        <v>39.59</v>
      </c>
      <c r="K60" s="57" t="inlineStr">
        <is>
          <t>ATIVA</t>
        </is>
      </c>
      <c r="L60" s="58" t="n">
        <v>46252</v>
      </c>
    </row>
    <row r="61">
      <c r="A61" s="54" t="inlineStr">
        <is>
          <t>71768171</t>
        </is>
      </c>
      <c r="B61" s="54" t="inlineStr">
        <is>
          <t>TIM</t>
        </is>
      </c>
      <c r="C61" s="54" t="inlineStr">
        <is>
          <t>15981472148</t>
        </is>
      </c>
      <c r="D61" s="54" t="inlineStr">
        <is>
          <t>51400</t>
        </is>
      </c>
      <c r="E61" s="54" t="inlineStr">
        <is>
          <t>GESTAO OP MEC CURIUVA</t>
        </is>
      </c>
      <c r="F61" s="49" t="inlineStr">
        <is>
          <t>701000816</t>
        </is>
      </c>
      <c r="G61" s="54" t="inlineStr">
        <is>
          <t>APARECIDO PEREIRA DE AZEVEDO</t>
        </is>
      </c>
      <c r="H61" s="49" t="inlineStr">
        <is>
          <t>02487073969</t>
        </is>
      </c>
      <c r="I61" s="55" t="n">
        <v>46235</v>
      </c>
      <c r="J61" s="84" t="n">
        <v>32</v>
      </c>
      <c r="K61" s="54" t="inlineStr">
        <is>
          <t>DESLIGADO</t>
        </is>
      </c>
      <c r="L61" s="58" t="n">
        <v>46252</v>
      </c>
    </row>
    <row r="62">
      <c r="A62" s="54" t="inlineStr">
        <is>
          <t>71768171</t>
        </is>
      </c>
      <c r="B62" s="54" t="inlineStr">
        <is>
          <t>TIM</t>
        </is>
      </c>
      <c r="C62" s="54" t="inlineStr">
        <is>
          <t>15981580160</t>
        </is>
      </c>
      <c r="D62" s="54" t="inlineStr">
        <is>
          <t>51201</t>
        </is>
      </c>
      <c r="E62" s="54" t="inlineStr">
        <is>
          <t>C12 - KLABIN IBAITI</t>
        </is>
      </c>
      <c r="F62" s="49" t="n"/>
      <c r="G62" s="54" t="inlineStr">
        <is>
          <t>ARISTIDES DE MORAIS</t>
        </is>
      </c>
      <c r="H62" s="49" t="inlineStr">
        <is>
          <t>07015523957</t>
        </is>
      </c>
      <c r="I62" s="55" t="n">
        <v>46235</v>
      </c>
      <c r="J62" s="84" t="n">
        <v>39.34</v>
      </c>
      <c r="K62" s="57" t="inlineStr">
        <is>
          <t>ATIVA</t>
        </is>
      </c>
      <c r="L62" s="58" t="n">
        <v>46252</v>
      </c>
    </row>
    <row r="63">
      <c r="A63" s="54" t="inlineStr">
        <is>
          <t>71768171</t>
        </is>
      </c>
      <c r="B63" s="54" t="inlineStr">
        <is>
          <t>TIM</t>
        </is>
      </c>
      <c r="C63" s="54" t="inlineStr">
        <is>
          <t>15981700314</t>
        </is>
      </c>
      <c r="D63" s="54" t="inlineStr">
        <is>
          <t>41300</t>
        </is>
      </c>
      <c r="E63" s="54" t="inlineStr">
        <is>
          <t>GESTAO OP SUZANO LPTA</t>
        </is>
      </c>
      <c r="F63" s="49" t="n"/>
      <c r="G63" s="54" t="inlineStr">
        <is>
          <t>ARLINDO LUCAS CAMARGO</t>
        </is>
      </c>
      <c r="H63" s="49" t="inlineStr">
        <is>
          <t>23461488810</t>
        </is>
      </c>
      <c r="I63" s="55" t="n">
        <v>46235</v>
      </c>
      <c r="J63" s="84" t="n">
        <v>38.02</v>
      </c>
      <c r="K63" s="57" t="inlineStr">
        <is>
          <t>ATIVA</t>
        </is>
      </c>
      <c r="L63" s="58" t="n">
        <v>46252</v>
      </c>
    </row>
    <row r="64">
      <c r="A64" s="54" t="n">
        <v>212522538</v>
      </c>
      <c r="B64" s="54" t="inlineStr">
        <is>
          <t>VIVO</t>
        </is>
      </c>
      <c r="C64" s="54" t="n">
        <v>15996532843</v>
      </c>
      <c r="D64" s="54" t="n">
        <v>417</v>
      </c>
      <c r="E64" s="54" t="inlineStr">
        <is>
          <t>QUALIDADE SP3</t>
        </is>
      </c>
      <c r="F64" s="49" t="inlineStr">
        <is>
          <t>010322978</t>
        </is>
      </c>
      <c r="G64" s="54" t="inlineStr">
        <is>
          <t>BRUNO BAPTISTELLA GUIGEM</t>
        </is>
      </c>
      <c r="H64" s="49" t="inlineStr">
        <is>
          <t>44361847819</t>
        </is>
      </c>
      <c r="I64" s="55" t="n">
        <v>46235</v>
      </c>
      <c r="J64" s="84" t="n">
        <v>39.59</v>
      </c>
      <c r="K64" s="57" t="inlineStr">
        <is>
          <t>ATIVA</t>
        </is>
      </c>
      <c r="L64" s="58" t="n">
        <v>46252</v>
      </c>
    </row>
    <row r="65">
      <c r="A65" s="54" t="n">
        <v>212522538</v>
      </c>
      <c r="B65" s="54" t="inlineStr">
        <is>
          <t>VIVO</t>
        </is>
      </c>
      <c r="C65" s="54" t="n">
        <v>15997109287</v>
      </c>
      <c r="D65" s="54" t="n">
        <v>42550</v>
      </c>
      <c r="E65" s="54" t="inlineStr">
        <is>
          <t>C02 - SUZANO CBO</t>
        </is>
      </c>
      <c r="F65" s="49" t="inlineStr">
        <is>
          <t>010314916</t>
        </is>
      </c>
      <c r="G65" s="54" t="inlineStr">
        <is>
          <t>BRUNO FONSECA DE OLIVEIRA</t>
        </is>
      </c>
      <c r="H65" s="49" t="inlineStr">
        <is>
          <t>45035444899</t>
        </is>
      </c>
      <c r="I65" s="55" t="n">
        <v>46235</v>
      </c>
      <c r="J65" s="84" t="n">
        <v>39.59</v>
      </c>
      <c r="K65" s="57" t="inlineStr">
        <is>
          <t>ATIVA</t>
        </is>
      </c>
      <c r="L65" s="58" t="n">
        <v>46252</v>
      </c>
    </row>
    <row r="66">
      <c r="A66" s="54" t="n">
        <v>212522538</v>
      </c>
      <c r="B66" s="54" t="inlineStr">
        <is>
          <t>VIVO</t>
        </is>
      </c>
      <c r="C66" s="54" t="n">
        <v>15991359482</v>
      </c>
      <c r="D66" s="54" t="inlineStr">
        <is>
          <t>2100</t>
        </is>
      </c>
      <c r="E66" s="54" t="inlineStr">
        <is>
          <t>GESTAO SSMA</t>
        </is>
      </c>
      <c r="F66" s="49" t="inlineStr">
        <is>
          <t>00051797341</t>
        </is>
      </c>
      <c r="G66" s="54" t="inlineStr">
        <is>
          <t>Bruno Prates</t>
        </is>
      </c>
      <c r="H66" s="49" t="inlineStr">
        <is>
          <t>51797341000170</t>
        </is>
      </c>
      <c r="I66" s="55" t="n">
        <v>46235</v>
      </c>
      <c r="J66" s="84" t="n">
        <v>39.59</v>
      </c>
      <c r="K66" s="57" t="inlineStr">
        <is>
          <t>ATIVA</t>
        </is>
      </c>
      <c r="L66" s="58" t="n">
        <v>46252</v>
      </c>
    </row>
    <row r="67">
      <c r="A67" s="54" t="n">
        <v>212522538</v>
      </c>
      <c r="B67" s="54" t="inlineStr">
        <is>
          <t>VIVO</t>
        </is>
      </c>
      <c r="C67" s="54" t="n">
        <v>15996651039</v>
      </c>
      <c r="D67" s="54" t="n">
        <v>42301</v>
      </c>
      <c r="E67" s="54" t="inlineStr">
        <is>
          <t>C04 - SUZANO CACAPAVA</t>
        </is>
      </c>
      <c r="F67" s="54" t="n"/>
      <c r="G67" s="54" t="inlineStr">
        <is>
          <t>CAÇAPAVA - VERIFICAR</t>
        </is>
      </c>
      <c r="H67" s="49" t="n"/>
      <c r="I67" s="55" t="n">
        <v>46235</v>
      </c>
      <c r="J67" s="84" t="n">
        <v>39.59</v>
      </c>
      <c r="K67" s="54" t="inlineStr">
        <is>
          <t>VERIFICAR</t>
        </is>
      </c>
      <c r="L67" s="58" t="n">
        <v>46252</v>
      </c>
    </row>
    <row r="68">
      <c r="A68" s="54" t="n">
        <v>212522538</v>
      </c>
      <c r="B68" s="54" t="inlineStr">
        <is>
          <t>VIVO</t>
        </is>
      </c>
      <c r="C68" s="54" t="n">
        <v>15998238550</v>
      </c>
      <c r="D68" s="54" t="n">
        <v>42301</v>
      </c>
      <c r="E68" s="54" t="inlineStr">
        <is>
          <t>C04 - SUZANO CACAPAVA</t>
        </is>
      </c>
      <c r="F68" s="66" t="n"/>
      <c r="G68" s="54" t="inlineStr">
        <is>
          <t>CAÇAPAVA - VERIFICAR</t>
        </is>
      </c>
      <c r="H68" s="49" t="n"/>
      <c r="I68" s="55" t="n">
        <v>46235</v>
      </c>
      <c r="J68" s="84" t="n">
        <v>39.59</v>
      </c>
      <c r="K68" s="54" t="inlineStr">
        <is>
          <t>VERIFICAR</t>
        </is>
      </c>
      <c r="L68" s="58" t="n">
        <v>46252</v>
      </c>
    </row>
    <row r="69">
      <c r="A69" s="54" t="n">
        <v>212522538</v>
      </c>
      <c r="B69" s="54" t="inlineStr">
        <is>
          <t>VIVO</t>
        </is>
      </c>
      <c r="C69" s="54" t="n">
        <v>15998281065</v>
      </c>
      <c r="D69" s="54" t="n">
        <v>42301</v>
      </c>
      <c r="E69" s="54" t="inlineStr">
        <is>
          <t>C04 - SUZANO CACAPAVA</t>
        </is>
      </c>
      <c r="F69" s="54" t="n"/>
      <c r="G69" s="54" t="inlineStr">
        <is>
          <t>CAÇAPAVA - VERIFICAR</t>
        </is>
      </c>
      <c r="H69" s="49" t="n"/>
      <c r="I69" s="55" t="n">
        <v>46235</v>
      </c>
      <c r="J69" s="84" t="n">
        <v>39.59</v>
      </c>
      <c r="K69" s="54" t="inlineStr">
        <is>
          <t>VERIFICAR</t>
        </is>
      </c>
      <c r="L69" s="58" t="n">
        <v>46252</v>
      </c>
    </row>
    <row r="70">
      <c r="A70" s="54" t="n">
        <v>212522538</v>
      </c>
      <c r="B70" s="54" t="inlineStr">
        <is>
          <t>VIVO</t>
        </is>
      </c>
      <c r="C70" s="54" t="n">
        <v>15996055466</v>
      </c>
      <c r="D70" s="54" t="inlineStr">
        <is>
          <t>12</t>
        </is>
      </c>
      <c r="E70" s="54" t="inlineStr">
        <is>
          <t>SUPRIMENTOS E FROTAS</t>
        </is>
      </c>
      <c r="F70" s="49" t="inlineStr">
        <is>
          <t>010618866</t>
        </is>
      </c>
      <c r="G70" s="54" t="inlineStr">
        <is>
          <t>CAMILE VITORIA CUNHA CARDOSO DE OLIVEIRA</t>
        </is>
      </c>
      <c r="H70" s="49" t="inlineStr">
        <is>
          <t>49099223854</t>
        </is>
      </c>
      <c r="I70" s="55" t="n">
        <v>46235</v>
      </c>
      <c r="J70" s="84" t="n">
        <v>39.59</v>
      </c>
      <c r="K70" s="57" t="inlineStr">
        <is>
          <t>ATIVA</t>
        </is>
      </c>
      <c r="L70" s="58" t="n">
        <v>46252</v>
      </c>
    </row>
    <row r="71">
      <c r="A71" s="54" t="n">
        <v>212522538</v>
      </c>
      <c r="B71" s="54" t="inlineStr">
        <is>
          <t>VIVO</t>
        </is>
      </c>
      <c r="C71" s="54" t="n">
        <v>15996036325</v>
      </c>
      <c r="D71" s="54" t="inlineStr">
        <is>
          <t>10</t>
        </is>
      </c>
      <c r="E71" s="54" t="inlineStr">
        <is>
          <t>RECURSOS HUMANOS</t>
        </is>
      </c>
      <c r="F71" s="49" t="inlineStr">
        <is>
          <t>010518218</t>
        </is>
      </c>
      <c r="G71" s="54" t="inlineStr">
        <is>
          <t>CAREN SOARES DE OLIVEIRA</t>
        </is>
      </c>
      <c r="H71" s="49" t="inlineStr">
        <is>
          <t>37050314811</t>
        </is>
      </c>
      <c r="I71" s="55" t="n">
        <v>46235</v>
      </c>
      <c r="J71" s="84" t="n">
        <v>39.59</v>
      </c>
      <c r="K71" s="57" t="inlineStr">
        <is>
          <t>ATIVA</t>
        </is>
      </c>
      <c r="L71" s="58" t="n">
        <v>46252</v>
      </c>
    </row>
    <row r="72">
      <c r="A72" s="54" t="n">
        <v>212522538</v>
      </c>
      <c r="B72" s="54" t="inlineStr">
        <is>
          <t>VIVO</t>
        </is>
      </c>
      <c r="C72" s="54" t="n">
        <v>15998372503</v>
      </c>
      <c r="D72" s="54" t="inlineStr">
        <is>
          <t>42400</t>
        </is>
      </c>
      <c r="E72" s="54" t="inlineStr">
        <is>
          <t>GESTAO OP SMA</t>
        </is>
      </c>
      <c r="F72" s="49" t="inlineStr">
        <is>
          <t>010317568</t>
        </is>
      </c>
      <c r="G72" s="54" t="inlineStr">
        <is>
          <t>CARINA APARECIDA PEREIRA</t>
        </is>
      </c>
      <c r="H72" s="49" t="inlineStr">
        <is>
          <t>33289781860</t>
        </is>
      </c>
      <c r="I72" s="55" t="n">
        <v>46235</v>
      </c>
      <c r="J72" s="84" t="n">
        <v>39.59</v>
      </c>
      <c r="K72" s="57" t="inlineStr">
        <is>
          <t>ATIVA</t>
        </is>
      </c>
      <c r="L72" s="58" t="n">
        <v>46252</v>
      </c>
    </row>
    <row r="73">
      <c r="A73" s="54" t="inlineStr">
        <is>
          <t>71768171</t>
        </is>
      </c>
      <c r="B73" s="54" t="inlineStr">
        <is>
          <t>TIM</t>
        </is>
      </c>
      <c r="C73" s="54" t="inlineStr">
        <is>
          <t>15981632349</t>
        </is>
      </c>
      <c r="D73" s="54" t="inlineStr">
        <is>
          <t>51201</t>
        </is>
      </c>
      <c r="E73" s="54" t="inlineStr">
        <is>
          <t>C12 - KLABIN IBAITI</t>
        </is>
      </c>
      <c r="F73" s="49" t="n"/>
      <c r="G73" s="54" t="inlineStr">
        <is>
          <t>Bruno Henrique De Almeida Souza / Janaina De Oliveira</t>
        </is>
      </c>
      <c r="H73" s="49" t="n"/>
      <c r="I73" s="55" t="n">
        <v>46235</v>
      </c>
      <c r="J73" s="84" t="n">
        <v>39.24</v>
      </c>
      <c r="K73" s="54" t="inlineStr">
        <is>
          <t>VERIFICAR</t>
        </is>
      </c>
      <c r="L73" s="58" t="n">
        <v>46252</v>
      </c>
    </row>
    <row r="74">
      <c r="A74" s="54" t="inlineStr">
        <is>
          <t>71768171</t>
        </is>
      </c>
      <c r="B74" s="54" t="inlineStr">
        <is>
          <t>TIM</t>
        </is>
      </c>
      <c r="C74" s="54" t="inlineStr">
        <is>
          <t>15981910185</t>
        </is>
      </c>
      <c r="D74" s="54" t="inlineStr">
        <is>
          <t>51200</t>
        </is>
      </c>
      <c r="E74" s="54" t="inlineStr">
        <is>
          <t>GESTAO OP IBAITI</t>
        </is>
      </c>
      <c r="F74" s="49" t="n"/>
      <c r="G74" s="54" t="inlineStr">
        <is>
          <t>BRUNO HENRIQUE FERNANDES RIBEIRO</t>
        </is>
      </c>
      <c r="H74" s="49" t="inlineStr">
        <is>
          <t>06052099950</t>
        </is>
      </c>
      <c r="I74" s="55" t="n">
        <v>46235</v>
      </c>
      <c r="J74" s="84" t="n">
        <v>32</v>
      </c>
      <c r="K74" s="57" t="inlineStr">
        <is>
          <t>ATIVA</t>
        </is>
      </c>
      <c r="L74" s="58" t="n">
        <v>46252</v>
      </c>
    </row>
    <row r="75">
      <c r="A75" s="54" t="n">
        <v>212522538</v>
      </c>
      <c r="B75" s="54" t="inlineStr">
        <is>
          <t>VIVO</t>
        </is>
      </c>
      <c r="C75" s="54" t="n">
        <v>67998575961</v>
      </c>
      <c r="D75" s="54" t="inlineStr">
        <is>
          <t>30</t>
        </is>
      </c>
      <c r="E75" s="54" t="inlineStr">
        <is>
          <t>GESTAO OP NORTE</t>
        </is>
      </c>
      <c r="F75" s="49" t="inlineStr">
        <is>
          <t>210106517</t>
        </is>
      </c>
      <c r="G75" s="54" t="inlineStr">
        <is>
          <t>CARLOS AUGUSTO BRANDAO NETO</t>
        </is>
      </c>
      <c r="H75" s="49" t="inlineStr">
        <is>
          <t>02724828038</t>
        </is>
      </c>
      <c r="I75" s="55" t="n">
        <v>46235</v>
      </c>
      <c r="J75" s="84" t="n">
        <v>39.59</v>
      </c>
      <c r="K75" s="57" t="inlineStr">
        <is>
          <t>ATIVA</t>
        </is>
      </c>
      <c r="L75" s="58" t="n">
        <v>46252</v>
      </c>
    </row>
    <row r="76">
      <c r="A76" s="54" t="n">
        <v>212522538</v>
      </c>
      <c r="B76" s="54" t="inlineStr">
        <is>
          <t>VIVO</t>
        </is>
      </c>
      <c r="C76" s="54" t="n">
        <v>15997101037</v>
      </c>
      <c r="D76" s="54" t="n">
        <v>13</v>
      </c>
      <c r="E76" s="54" t="inlineStr">
        <is>
          <t>DIRETORIA E AUDITORIA</t>
        </is>
      </c>
      <c r="F76" s="49" t="inlineStr">
        <is>
          <t>EM ESTOQUE</t>
        </is>
      </c>
      <c r="G76" s="54" t="inlineStr">
        <is>
          <t>EM ESTOQUE</t>
        </is>
      </c>
      <c r="H76" s="49" t="n"/>
      <c r="I76" s="55" t="n">
        <v>46235</v>
      </c>
      <c r="J76" s="84" t="n">
        <v>39.59</v>
      </c>
      <c r="K76" s="57" t="inlineStr">
        <is>
          <t>ESTOQUE</t>
        </is>
      </c>
      <c r="L76" s="58" t="n">
        <v>46252</v>
      </c>
    </row>
    <row r="77">
      <c r="A77" s="54" t="n">
        <v>212522538</v>
      </c>
      <c r="B77" s="54" t="inlineStr">
        <is>
          <t>VIVO</t>
        </is>
      </c>
      <c r="C77" s="54" t="n">
        <v>15996483444</v>
      </c>
      <c r="D77" s="54" t="inlineStr">
        <is>
          <t>30</t>
        </is>
      </c>
      <c r="E77" s="54" t="inlineStr">
        <is>
          <t>GESTAO OP NORTE</t>
        </is>
      </c>
      <c r="F77" s="49" t="inlineStr">
        <is>
          <t>210106517</t>
        </is>
      </c>
      <c r="G77" s="54" t="inlineStr">
        <is>
          <t>CARLOS AUGUSTO BRANDAO NETO</t>
        </is>
      </c>
      <c r="H77" s="49" t="inlineStr">
        <is>
          <t>02724828038</t>
        </is>
      </c>
      <c r="I77" s="55" t="n">
        <v>46235</v>
      </c>
      <c r="J77" s="84" t="n">
        <v>39.59</v>
      </c>
      <c r="K77" s="57" t="inlineStr">
        <is>
          <t>ATIVA</t>
        </is>
      </c>
      <c r="L77" s="58" t="n">
        <v>46252</v>
      </c>
    </row>
    <row r="78">
      <c r="A78" s="54" t="n">
        <v>212522538</v>
      </c>
      <c r="B78" s="54" t="inlineStr">
        <is>
          <t>VIVO</t>
        </is>
      </c>
      <c r="C78" s="54" t="n">
        <v>15997494159</v>
      </c>
      <c r="D78" s="54" t="inlineStr">
        <is>
          <t>12</t>
        </is>
      </c>
      <c r="E78" s="54" t="inlineStr">
        <is>
          <t>SUPRIMENTOS E FROTAS</t>
        </is>
      </c>
      <c r="F78" s="49" t="inlineStr">
        <is>
          <t>010322077</t>
        </is>
      </c>
      <c r="G78" s="54" t="inlineStr">
        <is>
          <t>CARLOS EDUARDO DIAS DO NASCIMENTO</t>
        </is>
      </c>
      <c r="H78" s="49" t="inlineStr">
        <is>
          <t>11457464977</t>
        </is>
      </c>
      <c r="I78" s="55" t="n">
        <v>46235</v>
      </c>
      <c r="J78" s="84" t="n">
        <v>39.59</v>
      </c>
      <c r="K78" s="57" t="inlineStr">
        <is>
          <t>ATIVA</t>
        </is>
      </c>
      <c r="L78" s="58" t="n">
        <v>46252</v>
      </c>
    </row>
    <row r="79">
      <c r="A79" s="54" t="n">
        <v>212522538</v>
      </c>
      <c r="B79" s="54" t="inlineStr">
        <is>
          <t>VIVO</t>
        </is>
      </c>
      <c r="C79" s="54" t="n">
        <v>15996035195</v>
      </c>
      <c r="D79" s="54" t="inlineStr">
        <is>
          <t>2121</t>
        </is>
      </c>
      <c r="E79" s="54" t="inlineStr">
        <is>
          <t>SSMA AGUA CLARA</t>
        </is>
      </c>
      <c r="F79" s="49" t="inlineStr">
        <is>
          <t>210106884</t>
        </is>
      </c>
      <c r="G79" s="54" t="inlineStr">
        <is>
          <t>CARLOS GABRIEL DE JESUS NUNES</t>
        </is>
      </c>
      <c r="H79" s="49" t="inlineStr">
        <is>
          <t>86724982596</t>
        </is>
      </c>
      <c r="I79" s="55" t="n">
        <v>46235</v>
      </c>
      <c r="J79" s="84" t="n">
        <v>39.59</v>
      </c>
      <c r="K79" s="57" t="inlineStr">
        <is>
          <t>ATIVA</t>
        </is>
      </c>
      <c r="L79" s="58" t="n">
        <v>46252</v>
      </c>
    </row>
    <row r="80">
      <c r="A80" s="54" t="n">
        <v>212522538</v>
      </c>
      <c r="B80" s="54" t="inlineStr">
        <is>
          <t>VIVO</t>
        </is>
      </c>
      <c r="C80" s="54" t="n">
        <v>67998959753</v>
      </c>
      <c r="D80" s="54" t="inlineStr">
        <is>
          <t>53201</t>
        </is>
      </c>
      <c r="E80" s="54" t="inlineStr">
        <is>
          <t>C08 - CMPC SAO GABRIEL MANUAL</t>
        </is>
      </c>
      <c r="F80" s="49" t="inlineStr">
        <is>
          <t>410100891</t>
        </is>
      </c>
      <c r="G80" s="54" t="inlineStr">
        <is>
          <t>CARLOS JORGE DOS SANTOS SILVEIRA JUNIOR</t>
        </is>
      </c>
      <c r="H80" s="49" t="inlineStr">
        <is>
          <t>04390178075</t>
        </is>
      </c>
      <c r="I80" s="55" t="n">
        <v>46235</v>
      </c>
      <c r="J80" s="84" t="n">
        <v>60.04</v>
      </c>
      <c r="K80" s="57" t="inlineStr">
        <is>
          <t>ATIVA</t>
        </is>
      </c>
      <c r="L80" s="58" t="n">
        <v>46252</v>
      </c>
    </row>
    <row r="81">
      <c r="A81" s="54" t="n">
        <v>212522538</v>
      </c>
      <c r="B81" s="54" t="inlineStr">
        <is>
          <t>VIVO</t>
        </is>
      </c>
      <c r="C81" s="54" t="n">
        <v>15998446902</v>
      </c>
      <c r="D81" s="54" t="inlineStr">
        <is>
          <t>41300</t>
        </is>
      </c>
      <c r="E81" s="54" t="inlineStr">
        <is>
          <t>GESTAO OP SUZANO LPTA</t>
        </is>
      </c>
      <c r="F81" s="49" t="inlineStr">
        <is>
          <t>51367978000127</t>
        </is>
      </c>
      <c r="G81" s="54" t="inlineStr">
        <is>
          <t>Carlos Junior</t>
        </is>
      </c>
      <c r="H81" s="49" t="inlineStr">
        <is>
          <t>51367978000127</t>
        </is>
      </c>
      <c r="I81" s="55" t="n">
        <v>46235</v>
      </c>
      <c r="J81" s="84" t="n">
        <v>39.59</v>
      </c>
      <c r="K81" s="54" t="inlineStr">
        <is>
          <t>ATIVA</t>
        </is>
      </c>
      <c r="L81" s="58" t="n">
        <v>46252</v>
      </c>
    </row>
    <row r="82">
      <c r="A82" s="54" t="n">
        <v>212522538</v>
      </c>
      <c r="B82" s="54" t="inlineStr">
        <is>
          <t>VIVO</t>
        </is>
      </c>
      <c r="C82" s="54" t="n">
        <v>15997623320</v>
      </c>
      <c r="D82" s="54" t="inlineStr">
        <is>
          <t>42301</t>
        </is>
      </c>
      <c r="E82" s="54" t="inlineStr">
        <is>
          <t>C04 - SUZANO CACAPAVA</t>
        </is>
      </c>
      <c r="F82" s="49" t="inlineStr">
        <is>
          <t>010420072</t>
        </is>
      </c>
      <c r="G82" s="54" t="inlineStr">
        <is>
          <t>CARLOS MACHADO</t>
        </is>
      </c>
      <c r="H82" s="49" t="inlineStr">
        <is>
          <t>05411048885</t>
        </is>
      </c>
      <c r="I82" s="55" t="n">
        <v>46235</v>
      </c>
      <c r="J82" s="84" t="n">
        <v>39.59</v>
      </c>
      <c r="K82" s="57" t="inlineStr">
        <is>
          <t>ATIVA</t>
        </is>
      </c>
      <c r="L82" s="58" t="n">
        <v>46252</v>
      </c>
    </row>
    <row r="83">
      <c r="A83" s="54" t="n">
        <v>212522538</v>
      </c>
      <c r="B83" s="54" t="inlineStr">
        <is>
          <t>VIVO</t>
        </is>
      </c>
      <c r="C83" s="54" t="n">
        <v>51998910853</v>
      </c>
      <c r="D83" s="54" t="inlineStr">
        <is>
          <t>53200</t>
        </is>
      </c>
      <c r="E83" s="54" t="inlineStr">
        <is>
          <t>GESTAO OP SAO GABRIEL</t>
        </is>
      </c>
      <c r="F83" s="49" t="inlineStr">
        <is>
          <t>410100807</t>
        </is>
      </c>
      <c r="G83" s="54" t="inlineStr">
        <is>
          <t>CAROLINA DE SOUZA LOPES</t>
        </is>
      </c>
      <c r="H83" s="49" t="inlineStr">
        <is>
          <t>03703560045</t>
        </is>
      </c>
      <c r="I83" s="55" t="n">
        <v>46235</v>
      </c>
      <c r="J83" s="84" t="n">
        <v>39.59</v>
      </c>
      <c r="K83" s="57" t="inlineStr">
        <is>
          <t>ATIVA</t>
        </is>
      </c>
      <c r="L83" s="58" t="n">
        <v>46252</v>
      </c>
    </row>
    <row r="84">
      <c r="A84" s="54" t="inlineStr">
        <is>
          <t>71768171</t>
        </is>
      </c>
      <c r="B84" s="54" t="inlineStr">
        <is>
          <t>TIM</t>
        </is>
      </c>
      <c r="C84" s="54" t="inlineStr">
        <is>
          <t>16982220080</t>
        </is>
      </c>
      <c r="D84" s="54" t="inlineStr">
        <is>
          <t>01.08.01.108.02</t>
        </is>
      </c>
      <c r="E84" s="54" t="inlineStr">
        <is>
          <t>CONTRATO 008 - CMPC SÃO GABRIEL</t>
        </is>
      </c>
      <c r="F84" s="49" t="inlineStr">
        <is>
          <t>701000068</t>
        </is>
      </c>
      <c r="G84" s="54" t="inlineStr">
        <is>
          <t>CARLOS ALEXANDRE DA SILVA</t>
        </is>
      </c>
      <c r="H84" s="49" t="inlineStr">
        <is>
          <t>03249454931</t>
        </is>
      </c>
      <c r="I84" s="55" t="n">
        <v>46235</v>
      </c>
      <c r="J84" s="84" t="n">
        <v>41.27</v>
      </c>
      <c r="K84" s="54" t="inlineStr">
        <is>
          <t>ATIVA</t>
        </is>
      </c>
      <c r="L84" s="58" t="n">
        <v>46252</v>
      </c>
    </row>
    <row r="85">
      <c r="A85" s="54" t="n">
        <v>212522538</v>
      </c>
      <c r="B85" s="54" t="inlineStr">
        <is>
          <t>VIVO</t>
        </is>
      </c>
      <c r="C85" s="54" t="n">
        <v>15996857931</v>
      </c>
      <c r="D85" s="54" t="inlineStr">
        <is>
          <t>11</t>
        </is>
      </c>
      <c r="E85" s="54" t="inlineStr">
        <is>
          <t>CONTROLADORIA</t>
        </is>
      </c>
      <c r="F85" s="49" t="inlineStr">
        <is>
          <t>010521010</t>
        </is>
      </c>
      <c r="G85" s="54" t="inlineStr">
        <is>
          <t>CAROLINE CAZONATTO</t>
        </is>
      </c>
      <c r="H85" s="49" t="inlineStr">
        <is>
          <t>41494250861</t>
        </is>
      </c>
      <c r="I85" s="55" t="n">
        <v>46235</v>
      </c>
      <c r="J85" s="84" t="n">
        <v>39.59</v>
      </c>
      <c r="K85" s="57" t="inlineStr">
        <is>
          <t>ATIVA</t>
        </is>
      </c>
      <c r="L85" s="58" t="n">
        <v>46252</v>
      </c>
    </row>
    <row r="86">
      <c r="A86" s="54" t="n">
        <v>212522538</v>
      </c>
      <c r="B86" s="54" t="inlineStr">
        <is>
          <t>VIVO</t>
        </is>
      </c>
      <c r="C86" s="54" t="n">
        <v>15996854020</v>
      </c>
      <c r="D86" s="54" t="inlineStr">
        <is>
          <t>32301</t>
        </is>
      </c>
      <c r="E86" s="54" t="inlineStr">
        <is>
          <t>C07 - SUZANO MANUTENCAO TRES LAGOAS</t>
        </is>
      </c>
      <c r="F86" s="49" t="inlineStr">
        <is>
          <t>210104123</t>
        </is>
      </c>
      <c r="G86" s="54" t="inlineStr">
        <is>
          <t>CASSIO ROSA ALVES</t>
        </is>
      </c>
      <c r="H86" s="49" t="inlineStr">
        <is>
          <t>42967654850</t>
        </is>
      </c>
      <c r="I86" s="55" t="n">
        <v>46235</v>
      </c>
      <c r="J86" s="84" t="n">
        <v>39.59</v>
      </c>
      <c r="K86" s="57" t="inlineStr">
        <is>
          <t>ATIVA</t>
        </is>
      </c>
      <c r="L86" s="58" t="n">
        <v>46252</v>
      </c>
    </row>
    <row r="87">
      <c r="A87" s="54" t="n">
        <v>212522538</v>
      </c>
      <c r="B87" s="54" t="inlineStr">
        <is>
          <t>VIVO</t>
        </is>
      </c>
      <c r="C87" s="54" t="n">
        <v>67999535201</v>
      </c>
      <c r="D87" s="54" t="inlineStr">
        <is>
          <t>32301</t>
        </is>
      </c>
      <c r="E87" s="54" t="inlineStr">
        <is>
          <t>C07 - SUZANO MANUTENCAO TRES LAGOAS</t>
        </is>
      </c>
      <c r="F87" s="49" t="inlineStr">
        <is>
          <t>210104123</t>
        </is>
      </c>
      <c r="G87" s="54" t="inlineStr">
        <is>
          <t>CASSIO ROSA ALVES</t>
        </is>
      </c>
      <c r="H87" s="49" t="inlineStr">
        <is>
          <t>42967654850</t>
        </is>
      </c>
      <c r="I87" s="55" t="n">
        <v>46235</v>
      </c>
      <c r="J87" s="84" t="n">
        <v>39.59</v>
      </c>
      <c r="K87" s="57" t="inlineStr">
        <is>
          <t>ATIVA</t>
        </is>
      </c>
      <c r="L87" s="58" t="n">
        <v>46252</v>
      </c>
    </row>
    <row r="88">
      <c r="A88" s="54" t="n">
        <v>212522538</v>
      </c>
      <c r="B88" s="54" t="inlineStr">
        <is>
          <t>VIVO</t>
        </is>
      </c>
      <c r="C88" s="54" t="n">
        <v>15996170155</v>
      </c>
      <c r="D88" s="54" t="inlineStr">
        <is>
          <t>71100</t>
        </is>
      </c>
      <c r="E88" s="54" t="inlineStr">
        <is>
          <t>P01 - ESCAVADEIRA HIDRAULICA</t>
        </is>
      </c>
      <c r="F88" s="49" t="inlineStr">
        <is>
          <t>010404315</t>
        </is>
      </c>
      <c r="G88" s="54" t="inlineStr">
        <is>
          <t>CELSO HONORIO DA SILVEIRA DA FONSECA</t>
        </is>
      </c>
      <c r="H88" s="49" t="inlineStr">
        <is>
          <t>32797003888</t>
        </is>
      </c>
      <c r="I88" s="55" t="n">
        <v>46235</v>
      </c>
      <c r="J88" s="84" t="n">
        <v>39.59</v>
      </c>
      <c r="K88" s="57" t="inlineStr">
        <is>
          <t>ATIVA</t>
        </is>
      </c>
      <c r="L88" s="58" t="n">
        <v>46252</v>
      </c>
    </row>
    <row r="89">
      <c r="A89" s="54" t="n">
        <v>212522538</v>
      </c>
      <c r="B89" s="54" t="inlineStr">
        <is>
          <t>VIVO</t>
        </is>
      </c>
      <c r="C89" s="54" t="n">
        <v>15996701822</v>
      </c>
      <c r="D89" s="54" t="inlineStr">
        <is>
          <t>41401</t>
        </is>
      </c>
      <c r="E89" s="54" t="inlineStr">
        <is>
          <t>C03 - BRACELL DOURADO</t>
        </is>
      </c>
      <c r="F89" s="49" t="inlineStr">
        <is>
          <t>010315793</t>
        </is>
      </c>
      <c r="G89" s="54" t="inlineStr">
        <is>
          <t>CICERO ALEXANDRE CONSTANTINO</t>
        </is>
      </c>
      <c r="H89" s="49" t="inlineStr">
        <is>
          <t>25246228860</t>
        </is>
      </c>
      <c r="I89" s="55" t="n">
        <v>46235</v>
      </c>
      <c r="J89" s="84" t="n">
        <v>39.59</v>
      </c>
      <c r="K89" s="57" t="inlineStr">
        <is>
          <t>ATIVA</t>
        </is>
      </c>
      <c r="L89" s="58" t="n">
        <v>46252</v>
      </c>
    </row>
    <row r="90">
      <c r="A90" s="54" t="inlineStr">
        <is>
          <t>71768171</t>
        </is>
      </c>
      <c r="B90" s="54" t="inlineStr">
        <is>
          <t>TIM</t>
        </is>
      </c>
      <c r="C90" s="54" t="inlineStr">
        <is>
          <t>15981471567</t>
        </is>
      </c>
      <c r="D90" s="54" t="inlineStr">
        <is>
          <t>51401</t>
        </is>
      </c>
      <c r="E90" s="54" t="inlineStr">
        <is>
          <t>C13 - KLABIN PR ESTEIRA</t>
        </is>
      </c>
      <c r="F90" s="49" t="inlineStr">
        <is>
          <t>701000903</t>
        </is>
      </c>
      <c r="G90" s="54" t="inlineStr">
        <is>
          <t>CARLOS GENTIL VITOR BELETATT</t>
        </is>
      </c>
      <c r="H90" s="49" t="inlineStr">
        <is>
          <t>04575802913</t>
        </is>
      </c>
      <c r="I90" s="55" t="n">
        <v>46235</v>
      </c>
      <c r="J90" s="84" t="n">
        <v>32</v>
      </c>
      <c r="K90" s="54" t="inlineStr">
        <is>
          <t>DESLIGADO</t>
        </is>
      </c>
      <c r="L90" s="58" t="n">
        <v>46252</v>
      </c>
    </row>
    <row r="91">
      <c r="A91" s="54" t="n">
        <v>212522538</v>
      </c>
      <c r="B91" s="54" t="inlineStr">
        <is>
          <t>VIVO</t>
        </is>
      </c>
      <c r="C91" s="54" t="n">
        <v>15996149980</v>
      </c>
      <c r="D91" s="54" t="inlineStr">
        <is>
          <t>41601</t>
        </is>
      </c>
      <c r="E91" s="54" t="inlineStr">
        <is>
          <t>C03 - EUCATEX ITATINGA</t>
        </is>
      </c>
      <c r="F91" s="49" t="inlineStr">
        <is>
          <t>010322242</t>
        </is>
      </c>
      <c r="G91" s="54" t="inlineStr">
        <is>
          <t>CLAUDEMIR DE PAULA</t>
        </is>
      </c>
      <c r="H91" s="49" t="inlineStr">
        <is>
          <t>42372649809</t>
        </is>
      </c>
      <c r="I91" s="55" t="n">
        <v>46235</v>
      </c>
      <c r="J91" s="84" t="n">
        <v>39.59</v>
      </c>
      <c r="K91" s="57" t="inlineStr">
        <is>
          <t>ATIVA</t>
        </is>
      </c>
      <c r="L91" s="58" t="n">
        <v>46252</v>
      </c>
    </row>
    <row r="92">
      <c r="A92" s="54" t="n">
        <v>212522538</v>
      </c>
      <c r="B92" s="54" t="inlineStr">
        <is>
          <t>VIVO</t>
        </is>
      </c>
      <c r="C92" s="54" t="n">
        <v>15997048980</v>
      </c>
      <c r="D92" s="54" t="n">
        <v>13</v>
      </c>
      <c r="E92" s="54" t="inlineStr">
        <is>
          <t>DIRETORIA E AUDITORIA</t>
        </is>
      </c>
      <c r="F92" s="54" t="inlineStr">
        <is>
          <t>EM ESTOQUE</t>
        </is>
      </c>
      <c r="G92" s="54" t="inlineStr">
        <is>
          <t>EM ESTOQUE</t>
        </is>
      </c>
      <c r="H92" s="49" t="n"/>
      <c r="I92" s="55" t="n">
        <v>46235</v>
      </c>
      <c r="J92" s="84" t="n">
        <v>39.59</v>
      </c>
      <c r="K92" s="57" t="inlineStr">
        <is>
          <t>ESTOQUE</t>
        </is>
      </c>
      <c r="L92" s="58" t="n">
        <v>46252</v>
      </c>
    </row>
    <row r="93">
      <c r="A93" s="54" t="n">
        <v>212522538</v>
      </c>
      <c r="B93" s="54" t="inlineStr">
        <is>
          <t>VIVO</t>
        </is>
      </c>
      <c r="C93" s="54" t="n">
        <v>15997651893</v>
      </c>
      <c r="D93" s="54" t="n">
        <v>32301</v>
      </c>
      <c r="E93" s="54" t="inlineStr">
        <is>
          <t>C07 - SUZANO MANUTENCAO TRES LAGOAS</t>
        </is>
      </c>
      <c r="F93" s="49" t="n">
        <v>210106915</v>
      </c>
      <c r="G93" s="54" t="inlineStr">
        <is>
          <t>CLAUDINEI DA SILVA</t>
        </is>
      </c>
      <c r="H93" s="49" t="inlineStr">
        <is>
          <t>04751127179</t>
        </is>
      </c>
      <c r="I93" s="55" t="n">
        <v>46235</v>
      </c>
      <c r="J93" s="84" t="n">
        <v>39.59</v>
      </c>
      <c r="K93" s="54" t="inlineStr">
        <is>
          <t>ATIVA</t>
        </is>
      </c>
      <c r="L93" s="58" t="n">
        <v>46252</v>
      </c>
    </row>
    <row r="94">
      <c r="A94" s="54" t="n">
        <v>212522538</v>
      </c>
      <c r="B94" s="54" t="inlineStr">
        <is>
          <t>VIVO</t>
        </is>
      </c>
      <c r="C94" s="54" t="n">
        <v>15997117567</v>
      </c>
      <c r="D94" s="54" t="inlineStr">
        <is>
          <t>42301</t>
        </is>
      </c>
      <c r="E94" s="54" t="inlineStr">
        <is>
          <t>C04 - SUZANO CACAPAVA</t>
        </is>
      </c>
      <c r="F94" s="49" t="inlineStr">
        <is>
          <t>010410637</t>
        </is>
      </c>
      <c r="G94" s="54" t="inlineStr">
        <is>
          <t>CLAUDIO TADEU DA SILVA</t>
        </is>
      </c>
      <c r="H94" s="49" t="inlineStr">
        <is>
          <t>30110420802</t>
        </is>
      </c>
      <c r="I94" s="55" t="n">
        <v>46235</v>
      </c>
      <c r="J94" s="84" t="n">
        <v>39.59</v>
      </c>
      <c r="K94" s="57" t="inlineStr">
        <is>
          <t>ATIVA</t>
        </is>
      </c>
      <c r="L94" s="58" t="n">
        <v>46252</v>
      </c>
    </row>
    <row r="95">
      <c r="A95" s="54" t="n">
        <v>212522538</v>
      </c>
      <c r="B95" s="54" t="inlineStr">
        <is>
          <t>VIVO</t>
        </is>
      </c>
      <c r="C95" s="54" t="n">
        <v>15996296897</v>
      </c>
      <c r="D95" s="54" t="inlineStr">
        <is>
          <t>41601</t>
        </is>
      </c>
      <c r="E95" s="54" t="inlineStr">
        <is>
          <t>C03 - EUCATEX ITATINGA</t>
        </is>
      </c>
      <c r="F95" s="49" t="inlineStr">
        <is>
          <t>010317571</t>
        </is>
      </c>
      <c r="G95" s="54" t="inlineStr">
        <is>
          <t>CLEITON ALVES DA SILVA</t>
        </is>
      </c>
      <c r="H95" s="49" t="inlineStr">
        <is>
          <t>48441620806</t>
        </is>
      </c>
      <c r="I95" s="55" t="n">
        <v>46235</v>
      </c>
      <c r="J95" s="84" t="n">
        <v>39.59</v>
      </c>
      <c r="K95" s="57" t="inlineStr">
        <is>
          <t>ATIVA</t>
        </is>
      </c>
      <c r="L95" s="58" t="n">
        <v>46252</v>
      </c>
    </row>
    <row r="96">
      <c r="A96" s="54" t="n">
        <v>212522538</v>
      </c>
      <c r="B96" s="54" t="inlineStr">
        <is>
          <t>VIVO</t>
        </is>
      </c>
      <c r="C96" s="54" t="n">
        <v>15998048268</v>
      </c>
      <c r="D96" s="68" t="n">
        <v>41401</v>
      </c>
      <c r="E96" s="68" t="inlineStr">
        <is>
          <t>C03 - BRACELL DOURADO</t>
        </is>
      </c>
      <c r="F96" s="49" t="inlineStr">
        <is>
          <t>FROTA</t>
        </is>
      </c>
      <c r="G96" s="61" t="inlineStr">
        <is>
          <t>CMH0393</t>
        </is>
      </c>
      <c r="H96" s="49" t="n"/>
      <c r="I96" s="55" t="n">
        <v>46235</v>
      </c>
      <c r="J96" s="84" t="n">
        <v>39.59</v>
      </c>
      <c r="K96" s="57" t="inlineStr">
        <is>
          <t>ATIVA</t>
        </is>
      </c>
      <c r="L96" s="58" t="n">
        <v>46252</v>
      </c>
    </row>
    <row r="97">
      <c r="A97" s="54" t="n">
        <v>212522538</v>
      </c>
      <c r="B97" s="54" t="inlineStr">
        <is>
          <t>VIVO</t>
        </is>
      </c>
      <c r="C97" s="54" t="n">
        <v>15998352332</v>
      </c>
      <c r="D97" s="54" t="n">
        <v>41401</v>
      </c>
      <c r="E97" s="54" t="inlineStr">
        <is>
          <t>C03 - BRACELL DOURADO</t>
        </is>
      </c>
      <c r="F97" s="54" t="inlineStr">
        <is>
          <t>FROTA</t>
        </is>
      </c>
      <c r="G97" s="54" t="inlineStr">
        <is>
          <t>CMH0404</t>
        </is>
      </c>
      <c r="H97" s="49" t="n"/>
      <c r="I97" s="55" t="n">
        <v>46235</v>
      </c>
      <c r="J97" s="84" t="n">
        <v>39.59</v>
      </c>
      <c r="K97" s="54" t="inlineStr">
        <is>
          <t>ATIVA</t>
        </is>
      </c>
      <c r="L97" s="58" t="n">
        <v>46252</v>
      </c>
    </row>
    <row r="98">
      <c r="A98" s="54" t="n">
        <v>212522538</v>
      </c>
      <c r="B98" s="54" t="inlineStr">
        <is>
          <t>VIVO</t>
        </is>
      </c>
      <c r="C98" s="54" t="n">
        <v>15998045806</v>
      </c>
      <c r="D98" s="54" t="n">
        <v>41201</v>
      </c>
      <c r="E98" s="54" t="inlineStr">
        <is>
          <t>BRACELL DUARTINA</t>
        </is>
      </c>
      <c r="F98" s="49" t="inlineStr">
        <is>
          <t>FROTA</t>
        </is>
      </c>
      <c r="G98" s="54" t="inlineStr">
        <is>
          <t>CMH0413</t>
        </is>
      </c>
      <c r="H98" s="49" t="n"/>
      <c r="I98" s="55" t="n">
        <v>46235</v>
      </c>
      <c r="J98" s="84" t="n">
        <v>39.59</v>
      </c>
      <c r="K98" s="57" t="inlineStr">
        <is>
          <t>ATIVA</t>
        </is>
      </c>
      <c r="L98" s="58" t="n">
        <v>46252</v>
      </c>
    </row>
    <row r="99">
      <c r="A99" s="54" t="n">
        <v>212522538</v>
      </c>
      <c r="B99" s="54" t="inlineStr">
        <is>
          <t>VIVO</t>
        </is>
      </c>
      <c r="C99" s="54" t="n">
        <v>15997434706</v>
      </c>
      <c r="D99" s="54" t="n">
        <v>420</v>
      </c>
      <c r="E99" s="54" t="inlineStr">
        <is>
          <t>GESTAO OP SP1</t>
        </is>
      </c>
      <c r="F99" s="49" t="inlineStr">
        <is>
          <t>FROTA</t>
        </is>
      </c>
      <c r="G99" s="54" t="inlineStr">
        <is>
          <t>CMH0433</t>
        </is>
      </c>
      <c r="H99" s="49" t="n"/>
      <c r="I99" s="55" t="n">
        <v>46235</v>
      </c>
      <c r="J99" s="84" t="n">
        <v>49.13</v>
      </c>
      <c r="K99" s="57" t="inlineStr">
        <is>
          <t>ATIVA</t>
        </is>
      </c>
      <c r="L99" s="58" t="n">
        <v>46252</v>
      </c>
    </row>
    <row r="100">
      <c r="A100" s="54" t="n">
        <v>212522538</v>
      </c>
      <c r="B100" s="54" t="inlineStr">
        <is>
          <t>VIVO</t>
        </is>
      </c>
      <c r="C100" s="54" t="n">
        <v>15996521162</v>
      </c>
      <c r="D100" s="54" t="inlineStr">
        <is>
          <t>10</t>
        </is>
      </c>
      <c r="E100" s="54" t="inlineStr">
        <is>
          <t>RECURSOS HUMANOS</t>
        </is>
      </c>
      <c r="F100" s="49" t="inlineStr">
        <is>
          <t>210106356</t>
        </is>
      </c>
      <c r="G100" s="54" t="inlineStr">
        <is>
          <t>CRISTIANE GONCALVES OLIVEIRA DE ARAUJO</t>
        </is>
      </c>
      <c r="H100" s="49" t="inlineStr">
        <is>
          <t>05484188105</t>
        </is>
      </c>
      <c r="I100" s="55" t="n">
        <v>46235</v>
      </c>
      <c r="J100" s="84" t="n">
        <v>39.59</v>
      </c>
      <c r="K100" s="57" t="inlineStr">
        <is>
          <t>ATIVA</t>
        </is>
      </c>
      <c r="L100" s="58" t="n">
        <v>46252</v>
      </c>
    </row>
    <row r="101">
      <c r="A101" s="54" t="n">
        <v>212522538</v>
      </c>
      <c r="B101" s="54" t="inlineStr">
        <is>
          <t>VIVO</t>
        </is>
      </c>
      <c r="C101" s="54" t="n">
        <v>15997130480</v>
      </c>
      <c r="D101" s="54" t="inlineStr">
        <is>
          <t>2170</t>
        </is>
      </c>
      <c r="E101" s="54" t="inlineStr">
        <is>
          <t>SSMA RS</t>
        </is>
      </c>
      <c r="F101" s="49" t="inlineStr">
        <is>
          <t>410100577</t>
        </is>
      </c>
      <c r="G101" s="54" t="inlineStr">
        <is>
          <t>CRISTIANO ODAIR WENDLER KARNOPP</t>
        </is>
      </c>
      <c r="H101" s="49" t="inlineStr">
        <is>
          <t>98748726087</t>
        </is>
      </c>
      <c r="I101" s="55" t="n">
        <v>46235</v>
      </c>
      <c r="J101" s="84" t="n">
        <v>39.59</v>
      </c>
      <c r="K101" s="57" t="inlineStr">
        <is>
          <t>ATIVA</t>
        </is>
      </c>
      <c r="L101" s="58" t="n">
        <v>46252</v>
      </c>
    </row>
    <row r="102">
      <c r="A102" s="54" t="n">
        <v>212522538</v>
      </c>
      <c r="B102" s="54" t="inlineStr">
        <is>
          <t>VIVO</t>
        </is>
      </c>
      <c r="C102" s="54" t="n">
        <v>15996013967</v>
      </c>
      <c r="D102" s="54" t="inlineStr">
        <is>
          <t>41501</t>
        </is>
      </c>
      <c r="E102" s="54" t="inlineStr">
        <is>
          <t>C03 - BRACELL ITATINGA</t>
        </is>
      </c>
      <c r="F102" s="49" t="inlineStr">
        <is>
          <t>010319261</t>
        </is>
      </c>
      <c r="G102" s="54" t="inlineStr">
        <is>
          <t>DAIANE FERREIRA MACEDO CORDEIRO</t>
        </is>
      </c>
      <c r="H102" s="49" t="inlineStr">
        <is>
          <t>42203345802</t>
        </is>
      </c>
      <c r="I102" s="55" t="n">
        <v>46235</v>
      </c>
      <c r="J102" s="84" t="n">
        <v>39.59</v>
      </c>
      <c r="K102" s="57" t="inlineStr">
        <is>
          <t>ATIVA</t>
        </is>
      </c>
      <c r="L102" s="58" t="n">
        <v>46252</v>
      </c>
    </row>
    <row r="103">
      <c r="A103" s="54" t="n">
        <v>212522538</v>
      </c>
      <c r="B103" s="54" t="inlineStr">
        <is>
          <t>VIVO</t>
        </is>
      </c>
      <c r="C103" s="54" t="n">
        <v>15996879159</v>
      </c>
      <c r="D103" s="54" t="inlineStr">
        <is>
          <t>42500</t>
        </is>
      </c>
      <c r="E103" s="54" t="inlineStr">
        <is>
          <t>GESTAO OP SUZANO CBO</t>
        </is>
      </c>
      <c r="F103" s="49" t="inlineStr">
        <is>
          <t>010315206</t>
        </is>
      </c>
      <c r="G103" s="54" t="inlineStr">
        <is>
          <t>DAIANE JAQUELINE DE ALMEIDA FERREIRA</t>
        </is>
      </c>
      <c r="H103" s="49" t="inlineStr">
        <is>
          <t>48117255812</t>
        </is>
      </c>
      <c r="I103" s="55" t="n">
        <v>46235</v>
      </c>
      <c r="J103" s="84" t="n">
        <v>39.59</v>
      </c>
      <c r="K103" s="57" t="inlineStr">
        <is>
          <t>ATIVA</t>
        </is>
      </c>
      <c r="L103" s="58" t="n">
        <v>46252</v>
      </c>
    </row>
    <row r="104">
      <c r="A104" s="54" t="n">
        <v>212522538</v>
      </c>
      <c r="B104" s="54" t="inlineStr">
        <is>
          <t>VIVO</t>
        </is>
      </c>
      <c r="C104" s="54" t="n">
        <v>15998613366</v>
      </c>
      <c r="D104" s="54" t="n">
        <v>41401</v>
      </c>
      <c r="E104" s="54" t="inlineStr">
        <is>
          <t>C03 - BRACELL DOURADO</t>
        </is>
      </c>
      <c r="F104" s="49" t="inlineStr">
        <is>
          <t>FROTA</t>
        </is>
      </c>
      <c r="G104" s="49" t="inlineStr">
        <is>
          <t>DOURADO - VERIFICAR</t>
        </is>
      </c>
      <c r="H104" s="49" t="n"/>
      <c r="I104" s="55" t="n">
        <v>46235</v>
      </c>
      <c r="J104" s="84" t="n">
        <v>39.59</v>
      </c>
      <c r="K104" s="68" t="inlineStr">
        <is>
          <t>VERIFICAR</t>
        </is>
      </c>
      <c r="L104" s="58" t="n">
        <v>46252</v>
      </c>
    </row>
    <row r="105">
      <c r="A105" s="54" t="n">
        <v>212522538</v>
      </c>
      <c r="B105" s="54" t="inlineStr">
        <is>
          <t>VIVO</t>
        </is>
      </c>
      <c r="C105" s="54" t="n">
        <v>15996472257</v>
      </c>
      <c r="D105" s="54" t="n">
        <v>41401</v>
      </c>
      <c r="E105" s="54" t="inlineStr">
        <is>
          <t>C03 - BRACELL DOURADO</t>
        </is>
      </c>
      <c r="F105" s="49" t="inlineStr">
        <is>
          <t>FROTA</t>
        </is>
      </c>
      <c r="G105" s="49" t="inlineStr">
        <is>
          <t>DOURADO - VERIFICAR</t>
        </is>
      </c>
      <c r="H105" s="49" t="n"/>
      <c r="I105" s="55" t="n">
        <v>46235</v>
      </c>
      <c r="J105" s="84" t="n">
        <v>39.59</v>
      </c>
      <c r="K105" s="68" t="inlineStr">
        <is>
          <t>VERIFICAR</t>
        </is>
      </c>
      <c r="L105" s="58" t="n">
        <v>46252</v>
      </c>
    </row>
    <row r="106">
      <c r="A106" s="54" t="n">
        <v>212522538</v>
      </c>
      <c r="B106" s="54" t="inlineStr">
        <is>
          <t>VIVO</t>
        </is>
      </c>
      <c r="C106" s="54" t="n">
        <v>15996092289</v>
      </c>
      <c r="D106" s="54" t="n">
        <v>41401</v>
      </c>
      <c r="E106" s="54" t="inlineStr">
        <is>
          <t>C03 - BRACELL DOURADO</t>
        </is>
      </c>
      <c r="F106" s="49" t="inlineStr">
        <is>
          <t>FROTA</t>
        </is>
      </c>
      <c r="G106" s="49" t="inlineStr">
        <is>
          <t>DOURADO - VERIFICAR</t>
        </is>
      </c>
      <c r="H106" s="49" t="n"/>
      <c r="I106" s="55" t="n">
        <v>46235</v>
      </c>
      <c r="J106" s="84" t="n">
        <v>39.59</v>
      </c>
      <c r="K106" s="68" t="inlineStr">
        <is>
          <t>VERIFICAR</t>
        </is>
      </c>
      <c r="L106" s="58" t="n">
        <v>46252</v>
      </c>
    </row>
    <row r="107">
      <c r="A107" s="54" t="n">
        <v>212522538</v>
      </c>
      <c r="B107" s="54" t="inlineStr">
        <is>
          <t>VIVO</t>
        </is>
      </c>
      <c r="C107" s="54" t="n">
        <v>15997437341</v>
      </c>
      <c r="D107" s="54" t="n">
        <v>41401</v>
      </c>
      <c r="E107" s="54" t="inlineStr">
        <is>
          <t>C03 - BRACELL DOURADO</t>
        </is>
      </c>
      <c r="F107" s="49" t="inlineStr">
        <is>
          <t>FROTA</t>
        </is>
      </c>
      <c r="G107" s="49" t="inlineStr">
        <is>
          <t>DOURADO - VERIFICAR</t>
        </is>
      </c>
      <c r="H107" s="49" t="n"/>
      <c r="I107" s="55" t="n">
        <v>46235</v>
      </c>
      <c r="J107" s="84" t="n">
        <v>39.59</v>
      </c>
      <c r="K107" s="68" t="inlineStr">
        <is>
          <t>VERIFICAR</t>
        </is>
      </c>
      <c r="L107" s="58" t="n">
        <v>46252</v>
      </c>
    </row>
    <row r="108">
      <c r="A108" s="54" t="n">
        <v>212522538</v>
      </c>
      <c r="B108" s="54" t="inlineStr">
        <is>
          <t>VIVO</t>
        </is>
      </c>
      <c r="C108" s="54" t="n">
        <v>15996503919</v>
      </c>
      <c r="D108" s="54" t="n">
        <v>41401</v>
      </c>
      <c r="E108" s="54" t="inlineStr">
        <is>
          <t>C03 - BRACELL DOURADO</t>
        </is>
      </c>
      <c r="F108" s="49" t="inlineStr">
        <is>
          <t>FROTA</t>
        </is>
      </c>
      <c r="G108" s="49" t="inlineStr">
        <is>
          <t>DOURADO - VERIFICAR</t>
        </is>
      </c>
      <c r="H108" s="49" t="n"/>
      <c r="I108" s="55" t="n">
        <v>46235</v>
      </c>
      <c r="J108" s="84" t="n">
        <v>39.59</v>
      </c>
      <c r="K108" s="68" t="inlineStr">
        <is>
          <t>VERIFICAR</t>
        </is>
      </c>
      <c r="L108" s="58" t="n">
        <v>46252</v>
      </c>
    </row>
    <row r="109">
      <c r="A109" s="54" t="n">
        <v>212522538</v>
      </c>
      <c r="B109" s="54" t="inlineStr">
        <is>
          <t>VIVO</t>
        </is>
      </c>
      <c r="C109" s="54" t="n">
        <v>15997352890</v>
      </c>
      <c r="D109" s="54" t="n">
        <v>41401</v>
      </c>
      <c r="E109" s="54" t="inlineStr">
        <is>
          <t>C03 - BRACELL DOURADO</t>
        </is>
      </c>
      <c r="F109" s="49" t="inlineStr">
        <is>
          <t>FROTA</t>
        </is>
      </c>
      <c r="G109" s="49" t="inlineStr">
        <is>
          <t>DOURADO - VERIFICAR</t>
        </is>
      </c>
      <c r="H109" s="49" t="n"/>
      <c r="I109" s="55" t="n">
        <v>46235</v>
      </c>
      <c r="J109" s="84" t="n">
        <v>39.59</v>
      </c>
      <c r="K109" s="68" t="inlineStr">
        <is>
          <t>VERIFICAR</t>
        </is>
      </c>
      <c r="L109" s="58" t="n">
        <v>46252</v>
      </c>
    </row>
    <row r="110">
      <c r="A110" s="54" t="n">
        <v>212522538</v>
      </c>
      <c r="B110" s="54" t="inlineStr">
        <is>
          <t>VIVO</t>
        </is>
      </c>
      <c r="C110" s="54" t="n">
        <v>15996852079</v>
      </c>
      <c r="D110" s="54" t="n">
        <v>41401</v>
      </c>
      <c r="E110" s="54" t="inlineStr">
        <is>
          <t>C03 - BRACELL DOURADO</t>
        </is>
      </c>
      <c r="F110" s="49" t="inlineStr">
        <is>
          <t>FROTA</t>
        </is>
      </c>
      <c r="G110" s="49" t="inlineStr">
        <is>
          <t>DOURADO - VERIFICAR</t>
        </is>
      </c>
      <c r="H110" s="49" t="n"/>
      <c r="I110" s="55" t="n">
        <v>46235</v>
      </c>
      <c r="J110" s="84" t="n">
        <v>39.59</v>
      </c>
      <c r="K110" s="68" t="inlineStr">
        <is>
          <t>VERIFICAR</t>
        </is>
      </c>
      <c r="L110" s="58" t="n">
        <v>46252</v>
      </c>
    </row>
    <row r="111">
      <c r="A111" s="54" t="n">
        <v>212522538</v>
      </c>
      <c r="B111" s="54" t="inlineStr">
        <is>
          <t>VIVO</t>
        </is>
      </c>
      <c r="C111" s="54" t="n">
        <v>67999918982</v>
      </c>
      <c r="D111" s="54" t="n">
        <v>41401</v>
      </c>
      <c r="E111" s="54" t="inlineStr">
        <is>
          <t>C03 - BRACELL DOURADO</t>
        </is>
      </c>
      <c r="F111" s="49" t="inlineStr">
        <is>
          <t>FROTA</t>
        </is>
      </c>
      <c r="G111" s="49" t="inlineStr">
        <is>
          <t>DOURADO - VERIFICAR</t>
        </is>
      </c>
      <c r="H111" s="49" t="n"/>
      <c r="I111" s="55" t="n">
        <v>46235</v>
      </c>
      <c r="J111" s="84" t="n">
        <v>39.59</v>
      </c>
      <c r="K111" s="68" t="inlineStr">
        <is>
          <t>VERIFICAR</t>
        </is>
      </c>
      <c r="L111" s="58" t="n">
        <v>46252</v>
      </c>
    </row>
    <row r="112">
      <c r="A112" s="54" t="n">
        <v>212522538</v>
      </c>
      <c r="B112" s="54" t="inlineStr">
        <is>
          <t>VIVO</t>
        </is>
      </c>
      <c r="C112" s="54" t="n">
        <v>67996360435</v>
      </c>
      <c r="D112" s="54" t="n">
        <v>41401</v>
      </c>
      <c r="E112" s="54" t="inlineStr">
        <is>
          <t>C03 - BRACELL DOURADO</t>
        </is>
      </c>
      <c r="F112" s="49" t="inlineStr">
        <is>
          <t>FROTA</t>
        </is>
      </c>
      <c r="G112" s="49" t="inlineStr">
        <is>
          <t>DOURADO - VERIFICAR</t>
        </is>
      </c>
      <c r="H112" s="49" t="n"/>
      <c r="I112" s="55" t="n">
        <v>46235</v>
      </c>
      <c r="J112" s="84" t="n">
        <v>39.59</v>
      </c>
      <c r="K112" s="68" t="inlineStr">
        <is>
          <t>VERIFICAR</t>
        </is>
      </c>
      <c r="L112" s="58" t="n">
        <v>46252</v>
      </c>
    </row>
    <row r="113">
      <c r="A113" s="54" t="n">
        <v>212522538</v>
      </c>
      <c r="B113" s="54" t="inlineStr">
        <is>
          <t>VIVO</t>
        </is>
      </c>
      <c r="C113" s="54" t="n">
        <v>15997958711</v>
      </c>
      <c r="D113" s="54" t="n">
        <v>41401</v>
      </c>
      <c r="E113" s="54" t="inlineStr">
        <is>
          <t>C03 - BRACELL DOURADO</t>
        </is>
      </c>
      <c r="F113" s="49" t="inlineStr">
        <is>
          <t>FROTA</t>
        </is>
      </c>
      <c r="G113" s="49" t="inlineStr">
        <is>
          <t>DOURADO - VERIFICAR</t>
        </is>
      </c>
      <c r="H113" s="49" t="n"/>
      <c r="I113" s="55" t="n">
        <v>46235</v>
      </c>
      <c r="J113" s="84" t="n">
        <v>39.59</v>
      </c>
      <c r="K113" s="68" t="inlineStr">
        <is>
          <t>VERIFICAR</t>
        </is>
      </c>
      <c r="L113" s="58" t="n">
        <v>46252</v>
      </c>
    </row>
    <row r="114">
      <c r="A114" s="54" t="n">
        <v>212522538</v>
      </c>
      <c r="B114" s="54" t="inlineStr">
        <is>
          <t>VIVO</t>
        </is>
      </c>
      <c r="C114" s="54" t="n">
        <v>15997402367</v>
      </c>
      <c r="D114" s="54" t="inlineStr">
        <is>
          <t>41201</t>
        </is>
      </c>
      <c r="E114" s="54" t="inlineStr">
        <is>
          <t>C05 - BRACELL DUARTINA</t>
        </is>
      </c>
      <c r="F114" s="49" t="n"/>
      <c r="G114" s="49" t="inlineStr">
        <is>
          <t>DANIEL BARBOSA DE AZEVEDO</t>
        </is>
      </c>
      <c r="H114" s="49" t="inlineStr">
        <is>
          <t>46900185886</t>
        </is>
      </c>
      <c r="I114" s="55" t="n">
        <v>46235</v>
      </c>
      <c r="J114" s="84" t="n">
        <v>39.59</v>
      </c>
      <c r="K114" s="57" t="inlineStr">
        <is>
          <t>ATIVA</t>
        </is>
      </c>
      <c r="L114" s="58" t="n">
        <v>46252</v>
      </c>
    </row>
    <row r="115">
      <c r="A115" s="54" t="inlineStr">
        <is>
          <t>71768171</t>
        </is>
      </c>
      <c r="B115" s="54" t="inlineStr">
        <is>
          <t>TIM</t>
        </is>
      </c>
      <c r="C115" s="54" t="inlineStr">
        <is>
          <t>15981910190</t>
        </is>
      </c>
      <c r="D115" s="54" t="inlineStr">
        <is>
          <t>324</t>
        </is>
      </c>
      <c r="E115" s="54" t="inlineStr">
        <is>
          <t>QUALIDADE MS1</t>
        </is>
      </c>
      <c r="F115" s="49" t="n"/>
      <c r="G115" s="54" t="inlineStr">
        <is>
          <t>CHARLES LUIS ALVES DA SILVA</t>
        </is>
      </c>
      <c r="H115" s="49" t="inlineStr">
        <is>
          <t>04450714199</t>
        </is>
      </c>
      <c r="I115" s="55" t="n">
        <v>46235</v>
      </c>
      <c r="J115" s="84" t="n">
        <v>32</v>
      </c>
      <c r="K115" s="57" t="inlineStr">
        <is>
          <t>ATIVA</t>
        </is>
      </c>
      <c r="L115" s="58" t="n">
        <v>46252</v>
      </c>
    </row>
    <row r="116">
      <c r="A116" s="54" t="n">
        <v>212522538</v>
      </c>
      <c r="B116" s="54" t="inlineStr">
        <is>
          <t>VIVO</t>
        </is>
      </c>
      <c r="C116" s="54" t="n">
        <v>15996213174</v>
      </c>
      <c r="D116" s="54" t="inlineStr">
        <is>
          <t>2001</t>
        </is>
      </c>
      <c r="E116" s="54" t="inlineStr">
        <is>
          <t>C03 - BRACELL DOURADO</t>
        </is>
      </c>
      <c r="F116" s="49" t="inlineStr">
        <is>
          <t>010718691</t>
        </is>
      </c>
      <c r="G116" s="54" t="inlineStr">
        <is>
          <t>DANIEL HEIJI TACIRO DOS SANTOS</t>
        </is>
      </c>
      <c r="H116" s="49" t="inlineStr">
        <is>
          <t>36121239808</t>
        </is>
      </c>
      <c r="I116" s="55" t="n">
        <v>46235</v>
      </c>
      <c r="J116" s="84" t="n">
        <v>39.59</v>
      </c>
      <c r="K116" s="57" t="inlineStr">
        <is>
          <t>ATIVA</t>
        </is>
      </c>
      <c r="L116" s="58" t="n">
        <v>46252</v>
      </c>
    </row>
    <row r="117">
      <c r="A117" s="54" t="n">
        <v>212522538</v>
      </c>
      <c r="B117" s="54" t="inlineStr">
        <is>
          <t>VIVO</t>
        </is>
      </c>
      <c r="C117" s="54" t="n">
        <v>15997381478</v>
      </c>
      <c r="D117" s="54" t="inlineStr">
        <is>
          <t>2140</t>
        </is>
      </c>
      <c r="E117" s="54" t="inlineStr">
        <is>
          <t>SSMA SP2</t>
        </is>
      </c>
      <c r="F117" s="49" t="inlineStr">
        <is>
          <t>010209146</t>
        </is>
      </c>
      <c r="G117" s="54" t="inlineStr">
        <is>
          <t>DANILO CESAR BRISOLA</t>
        </is>
      </c>
      <c r="H117" s="49" t="inlineStr">
        <is>
          <t>38409515857</t>
        </is>
      </c>
      <c r="I117" s="55" t="n">
        <v>46235</v>
      </c>
      <c r="J117" s="84" t="n">
        <v>39.59</v>
      </c>
      <c r="K117" s="57" t="inlineStr">
        <is>
          <t>ATIVA</t>
        </is>
      </c>
      <c r="L117" s="58" t="n">
        <v>46252</v>
      </c>
    </row>
    <row r="118">
      <c r="A118" s="54" t="inlineStr">
        <is>
          <t>71768171</t>
        </is>
      </c>
      <c r="B118" s="54" t="inlineStr">
        <is>
          <t>TIM</t>
        </is>
      </c>
      <c r="C118" s="54" t="inlineStr">
        <is>
          <t>15981632351</t>
        </is>
      </c>
      <c r="D118" s="54" t="inlineStr">
        <is>
          <t>52201</t>
        </is>
      </c>
      <c r="E118" s="54" t="inlineStr">
        <is>
          <t>C02 - KLABIN ANGATUBA</t>
        </is>
      </c>
      <c r="F118" s="49" t="inlineStr">
        <is>
          <t>010211612</t>
        </is>
      </c>
      <c r="G118" s="54" t="inlineStr">
        <is>
          <t>CLAUDIO APARECIDO DOMINGUES</t>
        </is>
      </c>
      <c r="H118" s="49" t="inlineStr">
        <is>
          <t>29558109835</t>
        </is>
      </c>
      <c r="I118" s="55" t="n">
        <v>46235</v>
      </c>
      <c r="J118" s="84" t="n">
        <v>39.24</v>
      </c>
      <c r="K118" s="54" t="inlineStr">
        <is>
          <t>DESLIGADO</t>
        </is>
      </c>
      <c r="L118" s="58" t="n">
        <v>46252</v>
      </c>
    </row>
    <row r="119">
      <c r="A119" s="54" t="n">
        <v>212522538</v>
      </c>
      <c r="B119" s="54" t="inlineStr">
        <is>
          <t>VIVO</t>
        </is>
      </c>
      <c r="C119" s="54" t="n">
        <v>51998044259</v>
      </c>
      <c r="D119" s="54" t="inlineStr">
        <is>
          <t>53201</t>
        </is>
      </c>
      <c r="E119" s="54" t="inlineStr">
        <is>
          <t>C08 - CMPC SAO GABRIEL MANUAL</t>
        </is>
      </c>
      <c r="F119" s="49" t="inlineStr">
        <is>
          <t>410100657</t>
        </is>
      </c>
      <c r="G119" s="54" t="inlineStr">
        <is>
          <t>DARCI CORREA VEIGA</t>
        </is>
      </c>
      <c r="H119" s="49" t="inlineStr">
        <is>
          <t>00927445085</t>
        </is>
      </c>
      <c r="I119" s="55" t="n">
        <v>46235</v>
      </c>
      <c r="J119" s="84" t="n">
        <v>39.59</v>
      </c>
      <c r="K119" s="57" t="inlineStr">
        <is>
          <t>ATIVA</t>
        </is>
      </c>
      <c r="L119" s="58" t="n">
        <v>46252</v>
      </c>
    </row>
    <row r="120">
      <c r="A120" s="54" t="n">
        <v>212522538</v>
      </c>
      <c r="B120" s="54" t="inlineStr">
        <is>
          <t>VIVO</t>
        </is>
      </c>
      <c r="C120" s="54" t="n">
        <v>15996664420</v>
      </c>
      <c r="D120" s="54" t="inlineStr">
        <is>
          <t>42400</t>
        </is>
      </c>
      <c r="E120" s="54" t="inlineStr">
        <is>
          <t>GESTAO OP SMA</t>
        </is>
      </c>
      <c r="F120" s="49" t="inlineStr">
        <is>
          <t>010318192</t>
        </is>
      </c>
      <c r="G120" s="54" t="inlineStr">
        <is>
          <t>DEIVISON LEONARDO POTYRALA</t>
        </is>
      </c>
      <c r="H120" s="49" t="inlineStr">
        <is>
          <t>43696202878</t>
        </is>
      </c>
      <c r="I120" s="55" t="n">
        <v>46235</v>
      </c>
      <c r="J120" s="84" t="n">
        <v>39.59</v>
      </c>
      <c r="K120" s="57" t="inlineStr">
        <is>
          <t>ATIVA</t>
        </is>
      </c>
      <c r="L120" s="58" t="n">
        <v>46252</v>
      </c>
    </row>
    <row r="121">
      <c r="A121" s="54" t="inlineStr">
        <is>
          <t>71768171</t>
        </is>
      </c>
      <c r="B121" s="54" t="inlineStr">
        <is>
          <t>TIM</t>
        </is>
      </c>
      <c r="C121" s="54" t="inlineStr">
        <is>
          <t>15981632292</t>
        </is>
      </c>
      <c r="D121" s="54" t="inlineStr">
        <is>
          <t>51201</t>
        </is>
      </c>
      <c r="E121" s="54" t="inlineStr">
        <is>
          <t>C12 - KLABIN IBAITI</t>
        </is>
      </c>
      <c r="F121" s="49" t="n"/>
      <c r="G121" s="54" t="inlineStr">
        <is>
          <t>Cleiton Da Cruz / Everson Dos Santos Dionizio</t>
        </is>
      </c>
      <c r="H121" s="49" t="n"/>
      <c r="I121" s="55" t="n">
        <v>46235</v>
      </c>
      <c r="J121" s="84" t="n">
        <v>39.24</v>
      </c>
      <c r="K121" s="54" t="inlineStr">
        <is>
          <t>VERIFICAR</t>
        </is>
      </c>
      <c r="L121" s="58" t="n">
        <v>46252</v>
      </c>
    </row>
    <row r="122">
      <c r="A122" s="54" t="n">
        <v>212522538</v>
      </c>
      <c r="B122" s="54" t="inlineStr">
        <is>
          <t>VIVO</t>
        </is>
      </c>
      <c r="C122" s="54" t="n">
        <v>15998549502</v>
      </c>
      <c r="D122" s="54" t="inlineStr">
        <is>
          <t>42501</t>
        </is>
      </c>
      <c r="E122" s="54" t="inlineStr">
        <is>
          <t>C02 - BRACELL CBO</t>
        </is>
      </c>
      <c r="F122" s="49" t="inlineStr">
        <is>
          <t>010322082</t>
        </is>
      </c>
      <c r="G122" s="54" t="inlineStr">
        <is>
          <t>DELSON RODRIGUES BLUM</t>
        </is>
      </c>
      <c r="H122" s="49" t="inlineStr">
        <is>
          <t>15245141876</t>
        </is>
      </c>
      <c r="I122" s="55" t="n">
        <v>46235</v>
      </c>
      <c r="J122" s="84" t="n">
        <v>39.59</v>
      </c>
      <c r="K122" s="57" t="inlineStr">
        <is>
          <t>ATIVA</t>
        </is>
      </c>
      <c r="L122" s="58" t="n">
        <v>46252</v>
      </c>
    </row>
    <row r="123">
      <c r="A123" s="54" t="n">
        <v>212522538</v>
      </c>
      <c r="B123" s="54" t="inlineStr">
        <is>
          <t>VIVO</t>
        </is>
      </c>
      <c r="C123" s="54" t="n">
        <v>15991359379</v>
      </c>
      <c r="D123" s="54" t="n">
        <v>10</v>
      </c>
      <c r="E123" s="54" t="inlineStr">
        <is>
          <t>RECURSOS HUMANOS</t>
        </is>
      </c>
      <c r="F123" s="49" t="inlineStr">
        <is>
          <t>00047943350</t>
        </is>
      </c>
      <c r="G123" s="54" t="inlineStr">
        <is>
          <t>Diego</t>
        </is>
      </c>
      <c r="H123" s="49" t="inlineStr">
        <is>
          <t>47943350000155</t>
        </is>
      </c>
      <c r="I123" s="55" t="n">
        <v>46235</v>
      </c>
      <c r="J123" s="84" t="n">
        <v>39.59</v>
      </c>
      <c r="K123" s="54" t="inlineStr">
        <is>
          <t>ATIVA</t>
        </is>
      </c>
      <c r="L123" s="58" t="n">
        <v>46252</v>
      </c>
    </row>
    <row r="124">
      <c r="A124" s="54" t="n">
        <v>212522538</v>
      </c>
      <c r="B124" s="54" t="inlineStr">
        <is>
          <t>VIVO</t>
        </is>
      </c>
      <c r="C124" s="54" t="n">
        <v>67999785319</v>
      </c>
      <c r="D124" s="54" t="n">
        <v>41401</v>
      </c>
      <c r="E124" s="54" t="inlineStr">
        <is>
          <t>C03 - BRACELL DOURADO</t>
        </is>
      </c>
      <c r="F124" s="49" t="inlineStr">
        <is>
          <t>FROTA</t>
        </is>
      </c>
      <c r="G124" s="49" t="inlineStr">
        <is>
          <t>DOURADO - VERIFICAR</t>
        </is>
      </c>
      <c r="H124" s="49" t="n"/>
      <c r="I124" s="55" t="n">
        <v>46235</v>
      </c>
      <c r="J124" s="84" t="n">
        <v>54.63</v>
      </c>
      <c r="K124" s="68" t="inlineStr">
        <is>
          <t>VERIFICAR</t>
        </is>
      </c>
      <c r="L124" s="58" t="n">
        <v>46252</v>
      </c>
    </row>
    <row r="125">
      <c r="A125" s="54" t="n">
        <v>212522538</v>
      </c>
      <c r="B125" s="54" t="inlineStr">
        <is>
          <t>VIVO</t>
        </is>
      </c>
      <c r="C125" s="54" t="n">
        <v>15998320494</v>
      </c>
      <c r="D125" s="54" t="n">
        <v>41401</v>
      </c>
      <c r="E125" s="54" t="inlineStr">
        <is>
          <t>C03 - BRACELL DOURADO</t>
        </is>
      </c>
      <c r="F125" s="49" t="inlineStr">
        <is>
          <t>FROTA</t>
        </is>
      </c>
      <c r="G125" s="54" t="inlineStr">
        <is>
          <t>DOURADO - VERIFICAR</t>
        </is>
      </c>
      <c r="H125" s="49" t="n"/>
      <c r="I125" s="55" t="n">
        <v>46235</v>
      </c>
      <c r="J125" s="84" t="n">
        <v>39.59</v>
      </c>
      <c r="K125" s="68" t="inlineStr">
        <is>
          <t>VERIFICAR</t>
        </is>
      </c>
      <c r="L125" s="58" t="n">
        <v>46252</v>
      </c>
    </row>
    <row r="126">
      <c r="A126" s="54" t="inlineStr">
        <is>
          <t>71768171</t>
        </is>
      </c>
      <c r="B126" s="54" t="inlineStr">
        <is>
          <t>TIM</t>
        </is>
      </c>
      <c r="C126" s="54" t="inlineStr">
        <is>
          <t>15981910032</t>
        </is>
      </c>
      <c r="D126" s="54" t="inlineStr">
        <is>
          <t>510</t>
        </is>
      </c>
      <c r="E126" s="54" t="inlineStr">
        <is>
          <t>GESTAO OP PR2</t>
        </is>
      </c>
      <c r="F126" s="49" t="inlineStr">
        <is>
          <t>701002871</t>
        </is>
      </c>
      <c r="G126" s="54" t="inlineStr">
        <is>
          <t>CRISLAINE CRISTINA DE OLIVEIRA CARVALHO</t>
        </is>
      </c>
      <c r="H126" s="49" t="inlineStr">
        <is>
          <t>09228296917</t>
        </is>
      </c>
      <c r="I126" s="55" t="n">
        <v>46235</v>
      </c>
      <c r="J126" s="84" t="n">
        <v>36.5</v>
      </c>
      <c r="K126" s="57" t="inlineStr">
        <is>
          <t>ATIVA</t>
        </is>
      </c>
      <c r="L126" s="58" t="n">
        <v>46252</v>
      </c>
    </row>
    <row r="127">
      <c r="A127" s="54" t="n">
        <v>212522538</v>
      </c>
      <c r="B127" s="54" t="inlineStr">
        <is>
          <t>VIVO</t>
        </is>
      </c>
      <c r="C127" s="54" t="n">
        <v>13996312383</v>
      </c>
      <c r="D127" s="54" t="inlineStr">
        <is>
          <t>42200</t>
        </is>
      </c>
      <c r="E127" s="54" t="inlineStr">
        <is>
          <t>GESTAO OP SANTA BRANCA</t>
        </is>
      </c>
      <c r="F127" s="49" t="inlineStr">
        <is>
          <t>010404459</t>
        </is>
      </c>
      <c r="G127" s="54" t="inlineStr">
        <is>
          <t>DIEGO CLAUS</t>
        </is>
      </c>
      <c r="H127" s="49" t="inlineStr">
        <is>
          <t>35888050873</t>
        </is>
      </c>
      <c r="I127" s="55" t="n">
        <v>46235</v>
      </c>
      <c r="J127" s="84" t="n">
        <v>39.59</v>
      </c>
      <c r="K127" s="57" t="inlineStr">
        <is>
          <t>ATIVA</t>
        </is>
      </c>
      <c r="L127" s="58" t="n">
        <v>46252</v>
      </c>
    </row>
    <row r="128">
      <c r="A128" s="54" t="n">
        <v>212522538</v>
      </c>
      <c r="B128" s="54" t="inlineStr">
        <is>
          <t>VIVO</t>
        </is>
      </c>
      <c r="C128" s="54" t="n">
        <v>15996289161</v>
      </c>
      <c r="D128" s="54" t="inlineStr">
        <is>
          <t>42200</t>
        </is>
      </c>
      <c r="E128" s="54" t="inlineStr">
        <is>
          <t>GESTAO OP SANTA BRANCA</t>
        </is>
      </c>
      <c r="F128" s="49" t="inlineStr">
        <is>
          <t>010404459</t>
        </is>
      </c>
      <c r="G128" s="54" t="inlineStr">
        <is>
          <t>DIEGO CLAUS</t>
        </is>
      </c>
      <c r="H128" s="49" t="inlineStr">
        <is>
          <t>35888050873</t>
        </is>
      </c>
      <c r="I128" s="55" t="n">
        <v>46235</v>
      </c>
      <c r="J128" s="84" t="n">
        <v>39.59</v>
      </c>
      <c r="K128" s="57" t="inlineStr">
        <is>
          <t>ATIVA</t>
        </is>
      </c>
      <c r="L128" s="58" t="n">
        <v>46252</v>
      </c>
    </row>
    <row r="129">
      <c r="A129" s="54" t="n">
        <v>212522538</v>
      </c>
      <c r="B129" s="54" t="inlineStr">
        <is>
          <t>VIVO</t>
        </is>
      </c>
      <c r="C129" s="54" t="n">
        <v>15996046631</v>
      </c>
      <c r="D129" s="54" t="inlineStr">
        <is>
          <t>41600</t>
        </is>
      </c>
      <c r="E129" s="54" t="inlineStr">
        <is>
          <t>GESTAO OP EUCATEX ITATINGA</t>
        </is>
      </c>
      <c r="F129" s="49" t="inlineStr">
        <is>
          <t>010315225</t>
        </is>
      </c>
      <c r="G129" s="54" t="inlineStr">
        <is>
          <t>DIEGO HENRIQUE DA SILVA BRAZ</t>
        </is>
      </c>
      <c r="H129" s="49" t="inlineStr">
        <is>
          <t>42541527870</t>
        </is>
      </c>
      <c r="I129" s="55" t="n">
        <v>46235</v>
      </c>
      <c r="J129" s="84" t="n">
        <v>39.59</v>
      </c>
      <c r="K129" s="57" t="inlineStr">
        <is>
          <t>ATIVA</t>
        </is>
      </c>
      <c r="L129" s="58" t="n">
        <v>46252</v>
      </c>
    </row>
    <row r="130">
      <c r="A130" s="54" t="n">
        <v>212522538</v>
      </c>
      <c r="B130" s="54" t="inlineStr">
        <is>
          <t>VIVO</t>
        </is>
      </c>
      <c r="C130" s="54" t="n">
        <v>15996654918</v>
      </c>
      <c r="D130" s="54" t="n">
        <v>417</v>
      </c>
      <c r="E130" s="54" t="inlineStr">
        <is>
          <t>QUALIDADE SP3</t>
        </is>
      </c>
      <c r="F130" s="62" t="inlineStr">
        <is>
          <t>010323123</t>
        </is>
      </c>
      <c r="G130" s="54" t="inlineStr">
        <is>
          <t>DIEGO SOUTO FONSECA</t>
        </is>
      </c>
      <c r="H130" s="49" t="inlineStr">
        <is>
          <t>47471102837</t>
        </is>
      </c>
      <c r="I130" s="55" t="n">
        <v>46235</v>
      </c>
      <c r="J130" s="84" t="n">
        <v>39.59</v>
      </c>
      <c r="K130" s="57" t="inlineStr">
        <is>
          <t>ATIVA</t>
        </is>
      </c>
      <c r="L130" s="58" t="n">
        <v>46252</v>
      </c>
    </row>
    <row r="131">
      <c r="A131" s="54" t="n">
        <v>212522538</v>
      </c>
      <c r="B131" s="54" t="inlineStr">
        <is>
          <t>VIVO</t>
        </is>
      </c>
      <c r="C131" s="54" t="n">
        <v>67998390372</v>
      </c>
      <c r="D131" s="54" t="inlineStr">
        <is>
          <t>10</t>
        </is>
      </c>
      <c r="E131" s="54" t="inlineStr">
        <is>
          <t>RECURSOS HUMANOS</t>
        </is>
      </c>
      <c r="F131" s="49" t="inlineStr">
        <is>
          <t>410101629</t>
        </is>
      </c>
      <c r="G131" s="54" t="inlineStr">
        <is>
          <t>DIENIFER DA SILVA ANDRADE</t>
        </is>
      </c>
      <c r="H131" s="49" t="inlineStr">
        <is>
          <t>03779746093</t>
        </is>
      </c>
      <c r="I131" s="55" t="n">
        <v>46235</v>
      </c>
      <c r="J131" s="84" t="n">
        <v>54.63</v>
      </c>
      <c r="K131" s="57" t="inlineStr">
        <is>
          <t>ATIVA</t>
        </is>
      </c>
      <c r="L131" s="58" t="n">
        <v>46252</v>
      </c>
    </row>
    <row r="132">
      <c r="A132" s="54" t="n">
        <v>212522538</v>
      </c>
      <c r="B132" s="54" t="inlineStr">
        <is>
          <t>VIVO</t>
        </is>
      </c>
      <c r="C132" s="54" t="n">
        <v>51998145111</v>
      </c>
      <c r="D132" s="54" t="inlineStr">
        <is>
          <t>53201</t>
        </is>
      </c>
      <c r="E132" s="54" t="inlineStr">
        <is>
          <t>C08 - CMPC SAO GABRIEL MANUAL</t>
        </is>
      </c>
      <c r="F132" s="49" t="inlineStr">
        <is>
          <t>410100126</t>
        </is>
      </c>
      <c r="G132" s="54" t="inlineStr">
        <is>
          <t>DORIVAL ABEL MIRANDA DE CARVALHO</t>
        </is>
      </c>
      <c r="H132" s="49" t="inlineStr">
        <is>
          <t>97179744034</t>
        </is>
      </c>
      <c r="I132" s="55" t="n">
        <v>46235</v>
      </c>
      <c r="J132" s="84" t="n">
        <v>39.59</v>
      </c>
      <c r="K132" s="57" t="inlineStr">
        <is>
          <t>ATIVA</t>
        </is>
      </c>
      <c r="L132" s="58" t="n">
        <v>46252</v>
      </c>
    </row>
    <row r="133">
      <c r="A133" s="54" t="n">
        <v>212522538</v>
      </c>
      <c r="B133" s="54" t="inlineStr">
        <is>
          <t>VIVO</t>
        </is>
      </c>
      <c r="C133" s="54" t="n">
        <v>15997264575</v>
      </c>
      <c r="D133" s="54" t="n">
        <v>41201</v>
      </c>
      <c r="E133" s="54" t="inlineStr">
        <is>
          <t>C05 - BRACELL DUARTINA</t>
        </is>
      </c>
      <c r="F133" s="49" t="inlineStr">
        <is>
          <t>010322576</t>
        </is>
      </c>
      <c r="G133" s="54" t="inlineStr">
        <is>
          <t>DOUGLAS PAPA BORGES</t>
        </is>
      </c>
      <c r="H133" s="49" t="inlineStr">
        <is>
          <t>44528284855</t>
        </is>
      </c>
      <c r="I133" s="55" t="n">
        <v>46235</v>
      </c>
      <c r="J133" s="84" t="n">
        <v>39.59</v>
      </c>
      <c r="K133" s="57" t="inlineStr">
        <is>
          <t>ATIVA</t>
        </is>
      </c>
      <c r="L133" s="58" t="n">
        <v>46252</v>
      </c>
    </row>
    <row r="134">
      <c r="A134" s="54" t="n">
        <v>212522538</v>
      </c>
      <c r="B134" s="54" t="inlineStr">
        <is>
          <t>VIVO</t>
        </is>
      </c>
      <c r="C134" s="54" t="n">
        <v>15996938333</v>
      </c>
      <c r="D134" s="54" t="inlineStr">
        <is>
          <t>2000</t>
        </is>
      </c>
      <c r="E134" s="54" t="inlineStr">
        <is>
          <t>GESTAO MANUTENCAO</t>
        </is>
      </c>
      <c r="F134" s="49" t="inlineStr">
        <is>
          <t>010320237</t>
        </is>
      </c>
      <c r="G134" s="54" t="inlineStr">
        <is>
          <t>EDIL CARLOS PEREIRA JUNIOR</t>
        </is>
      </c>
      <c r="H134" s="49" t="inlineStr">
        <is>
          <t>41556617801</t>
        </is>
      </c>
      <c r="I134" s="55" t="n">
        <v>46235</v>
      </c>
      <c r="J134" s="84" t="n">
        <v>39.59</v>
      </c>
      <c r="K134" s="57" t="inlineStr">
        <is>
          <t>ATIVA</t>
        </is>
      </c>
      <c r="L134" s="58" t="n">
        <v>46252</v>
      </c>
    </row>
    <row r="135">
      <c r="A135" s="54" t="n">
        <v>212522538</v>
      </c>
      <c r="B135" s="54" t="inlineStr">
        <is>
          <t>VIVO</t>
        </is>
      </c>
      <c r="C135" s="54" t="n">
        <v>15996364315</v>
      </c>
      <c r="D135" s="54" t="inlineStr">
        <is>
          <t>42250</t>
        </is>
      </c>
      <c r="E135" s="54" t="inlineStr">
        <is>
          <t>C04 - SUZANO VIVEIRO VALE</t>
        </is>
      </c>
      <c r="F135" s="49" t="inlineStr">
        <is>
          <t>010420346</t>
        </is>
      </c>
      <c r="G135" s="54" t="inlineStr">
        <is>
          <t>EDMILSON APARECIDO DA CRUZ JUNIOR</t>
        </is>
      </c>
      <c r="H135" s="49" t="inlineStr">
        <is>
          <t>48102446870</t>
        </is>
      </c>
      <c r="I135" s="55" t="n">
        <v>46235</v>
      </c>
      <c r="J135" s="84" t="n">
        <v>39.59</v>
      </c>
      <c r="K135" s="57" t="inlineStr">
        <is>
          <t>ATIVA</t>
        </is>
      </c>
      <c r="L135" s="58" t="n">
        <v>46252</v>
      </c>
    </row>
    <row r="136">
      <c r="A136" s="54" t="n">
        <v>212522538</v>
      </c>
      <c r="B136" s="54" t="inlineStr">
        <is>
          <t>VIVO</t>
        </is>
      </c>
      <c r="C136" s="54" t="n">
        <v>15998212603</v>
      </c>
      <c r="D136" s="54" t="inlineStr">
        <is>
          <t>42501</t>
        </is>
      </c>
      <c r="E136" s="54" t="inlineStr">
        <is>
          <t>C02 - BRACELL CBO</t>
        </is>
      </c>
      <c r="F136" s="49" t="inlineStr">
        <is>
          <t>010205118</t>
        </is>
      </c>
      <c r="G136" s="54" t="inlineStr">
        <is>
          <t>EDSON DE LIMA</t>
        </is>
      </c>
      <c r="H136" s="49" t="inlineStr">
        <is>
          <t>17257146802</t>
        </is>
      </c>
      <c r="I136" s="55" t="n">
        <v>46235</v>
      </c>
      <c r="J136" s="84" t="n">
        <v>39.59</v>
      </c>
      <c r="K136" s="57" t="inlineStr">
        <is>
          <t>ATIVA</t>
        </is>
      </c>
      <c r="L136" s="58" t="n">
        <v>46252</v>
      </c>
    </row>
    <row r="137">
      <c r="A137" s="54" t="n">
        <v>212522538</v>
      </c>
      <c r="B137" s="54" t="inlineStr">
        <is>
          <t>VIVO</t>
        </is>
      </c>
      <c r="C137" s="54" t="n">
        <v>15996561992</v>
      </c>
      <c r="D137" s="54" t="inlineStr">
        <is>
          <t>41600</t>
        </is>
      </c>
      <c r="E137" s="54" t="inlineStr">
        <is>
          <t>GESTAO OP EUCATEX ITATINGA</t>
        </is>
      </c>
      <c r="F137" s="49" t="inlineStr">
        <is>
          <t>010317995</t>
        </is>
      </c>
      <c r="G137" s="54" t="inlineStr">
        <is>
          <t>EDUARDA APARECIDA FERREIRA MACEDO</t>
        </is>
      </c>
      <c r="H137" s="49" t="inlineStr">
        <is>
          <t>47803336876</t>
        </is>
      </c>
      <c r="I137" s="55" t="n">
        <v>46235</v>
      </c>
      <c r="J137" s="84" t="n">
        <v>39.59</v>
      </c>
      <c r="K137" s="57" t="inlineStr">
        <is>
          <t>ATIVA</t>
        </is>
      </c>
      <c r="L137" s="58" t="n">
        <v>46252</v>
      </c>
    </row>
    <row r="138">
      <c r="A138" s="54" t="inlineStr">
        <is>
          <t>71768171</t>
        </is>
      </c>
      <c r="B138" s="54" t="inlineStr">
        <is>
          <t>TIM</t>
        </is>
      </c>
      <c r="C138" s="54" t="inlineStr">
        <is>
          <t>15981710658</t>
        </is>
      </c>
      <c r="D138" s="54" t="inlineStr">
        <is>
          <t>51450</t>
        </is>
      </c>
      <c r="E138" s="54" t="inlineStr">
        <is>
          <t>C13 - KLABIN PR DRONE</t>
        </is>
      </c>
      <c r="F138" s="49" t="inlineStr">
        <is>
          <t>701002202</t>
        </is>
      </c>
      <c r="G138" s="54" t="inlineStr">
        <is>
          <t>Danilo Rodrigues Mikota</t>
        </is>
      </c>
      <c r="H138" s="49" t="n"/>
      <c r="I138" s="55" t="n">
        <v>46235</v>
      </c>
      <c r="J138" s="84" t="n">
        <v>37.59</v>
      </c>
      <c r="K138" s="54" t="inlineStr">
        <is>
          <t>VERIFICAR</t>
        </is>
      </c>
      <c r="L138" s="58" t="n">
        <v>46252</v>
      </c>
    </row>
    <row r="139">
      <c r="A139" s="54" t="n">
        <v>212522538</v>
      </c>
      <c r="B139" s="54" t="inlineStr">
        <is>
          <t>VIVO</t>
        </is>
      </c>
      <c r="C139" s="54" t="n">
        <v>15996889203</v>
      </c>
      <c r="D139" s="54" t="n">
        <v>41300</v>
      </c>
      <c r="E139" s="54" t="inlineStr">
        <is>
          <t>GESTAO OP SUZANO LPTA</t>
        </is>
      </c>
      <c r="F139" s="62" t="inlineStr">
        <is>
          <t>FORA SIGO</t>
        </is>
      </c>
      <c r="G139" s="54" t="inlineStr">
        <is>
          <t>Eduardo Canoni Amaro</t>
        </is>
      </c>
      <c r="H139" s="49" t="n"/>
      <c r="I139" s="55" t="n">
        <v>46235</v>
      </c>
      <c r="J139" s="84" t="n">
        <v>39.59</v>
      </c>
      <c r="K139" s="54" t="inlineStr">
        <is>
          <t>ATIVA</t>
        </is>
      </c>
      <c r="L139" s="58" t="n">
        <v>46252</v>
      </c>
    </row>
    <row r="140">
      <c r="A140" s="54" t="inlineStr">
        <is>
          <t>71768171</t>
        </is>
      </c>
      <c r="B140" s="54" t="inlineStr">
        <is>
          <t>TIM</t>
        </is>
      </c>
      <c r="C140" s="54" t="inlineStr">
        <is>
          <t>15981472498</t>
        </is>
      </c>
      <c r="D140" s="54" t="inlineStr">
        <is>
          <t>51201</t>
        </is>
      </c>
      <c r="E140" s="54" t="inlineStr">
        <is>
          <t>C12 - KLABIN IBAITI</t>
        </is>
      </c>
      <c r="F140" s="49" t="inlineStr">
        <is>
          <t>701002800</t>
        </is>
      </c>
      <c r="G140" s="54" t="inlineStr">
        <is>
          <t>DAVERSON XAVIER BATISTA</t>
        </is>
      </c>
      <c r="H140" s="49" t="inlineStr">
        <is>
          <t>08897763936</t>
        </is>
      </c>
      <c r="I140" s="55" t="n">
        <v>46235</v>
      </c>
      <c r="J140" s="84" t="n">
        <v>32</v>
      </c>
      <c r="K140" s="57" t="inlineStr">
        <is>
          <t>ATIVA</t>
        </is>
      </c>
      <c r="L140" s="58" t="n">
        <v>46252</v>
      </c>
    </row>
    <row r="141">
      <c r="A141" s="54" t="n">
        <v>212522538</v>
      </c>
      <c r="B141" s="54" t="inlineStr">
        <is>
          <t>VIVO</t>
        </is>
      </c>
      <c r="C141" s="54" t="n">
        <v>15996857345</v>
      </c>
      <c r="D141" s="54" t="inlineStr">
        <is>
          <t>40</t>
        </is>
      </c>
      <c r="E141" s="54" t="inlineStr">
        <is>
          <t>GESTAO OP LESTE</t>
        </is>
      </c>
      <c r="F141" s="49" t="inlineStr">
        <is>
          <t>00050954717</t>
        </is>
      </c>
      <c r="G141" s="54" t="inlineStr">
        <is>
          <t>Eduardo Marques</t>
        </is>
      </c>
      <c r="H141" s="49" t="inlineStr">
        <is>
          <t>50954717000140</t>
        </is>
      </c>
      <c r="I141" s="55" t="n">
        <v>46235</v>
      </c>
      <c r="J141" s="84" t="n">
        <v>39.59</v>
      </c>
      <c r="K141" s="57" t="inlineStr">
        <is>
          <t>ATIVA</t>
        </is>
      </c>
      <c r="L141" s="58" t="n">
        <v>46252</v>
      </c>
    </row>
    <row r="142">
      <c r="A142" s="54" t="n">
        <v>212522538</v>
      </c>
      <c r="B142" s="54" t="inlineStr">
        <is>
          <t>VIVO</t>
        </is>
      </c>
      <c r="C142" s="54" t="n">
        <v>15997133972</v>
      </c>
      <c r="D142" s="54" t="inlineStr">
        <is>
          <t>12</t>
        </is>
      </c>
      <c r="E142" s="54" t="inlineStr">
        <is>
          <t>SUPRIMENTOS E FROTAS</t>
        </is>
      </c>
      <c r="F142" s="49" t="inlineStr">
        <is>
          <t>701003090</t>
        </is>
      </c>
      <c r="G142" s="54" t="inlineStr">
        <is>
          <t>EDUARDO TAVARES PINOTTI</t>
        </is>
      </c>
      <c r="H142" s="49" t="inlineStr">
        <is>
          <t>13172128946</t>
        </is>
      </c>
      <c r="I142" s="55" t="n">
        <v>46235</v>
      </c>
      <c r="J142" s="84" t="n">
        <v>39.59</v>
      </c>
      <c r="K142" s="57" t="inlineStr">
        <is>
          <t>ATIVA</t>
        </is>
      </c>
      <c r="L142" s="58" t="n">
        <v>46252</v>
      </c>
    </row>
    <row r="143">
      <c r="A143" s="54" t="inlineStr">
        <is>
          <t>71768171</t>
        </is>
      </c>
      <c r="B143" s="54" t="inlineStr">
        <is>
          <t>TIM</t>
        </is>
      </c>
      <c r="C143" s="54" t="inlineStr">
        <is>
          <t>15981910059</t>
        </is>
      </c>
      <c r="D143" s="54" t="inlineStr">
        <is>
          <t>32201</t>
        </is>
      </c>
      <c r="E143" s="54" t="inlineStr">
        <is>
          <t>C01 - SUZANO MANUTENCAO AGUA CLARA</t>
        </is>
      </c>
      <c r="F143" s="49" t="inlineStr">
        <is>
          <t>210104947</t>
        </is>
      </c>
      <c r="G143" s="54" t="inlineStr">
        <is>
          <t>DENILSON DA COSTA</t>
        </is>
      </c>
      <c r="H143" s="49" t="inlineStr">
        <is>
          <t>06365145365</t>
        </is>
      </c>
      <c r="I143" s="55" t="n">
        <v>46235</v>
      </c>
      <c r="J143" s="84" t="n">
        <v>36.5</v>
      </c>
      <c r="K143" s="57" t="inlineStr">
        <is>
          <t>ATIVA</t>
        </is>
      </c>
      <c r="L143" s="58" t="n">
        <v>46252</v>
      </c>
    </row>
    <row r="144">
      <c r="A144" s="54" t="n">
        <v>212522538</v>
      </c>
      <c r="B144" s="54" t="inlineStr">
        <is>
          <t>VIVO</t>
        </is>
      </c>
      <c r="C144" s="54" t="n">
        <v>15996657325</v>
      </c>
      <c r="D144" s="54" t="n">
        <v>41201</v>
      </c>
      <c r="E144" s="54" t="inlineStr">
        <is>
          <t>BRACELL DUARTINA</t>
        </is>
      </c>
      <c r="F144" s="49" t="inlineStr">
        <is>
          <t>FROTA</t>
        </is>
      </c>
      <c r="G144" s="54" t="inlineStr">
        <is>
          <t>EGN8E93</t>
        </is>
      </c>
      <c r="H144" s="49" t="n"/>
      <c r="I144" s="55" t="n">
        <v>46235</v>
      </c>
      <c r="J144" s="84" t="n">
        <v>39.59</v>
      </c>
      <c r="K144" s="57" t="inlineStr">
        <is>
          <t>ATIVA</t>
        </is>
      </c>
      <c r="L144" s="58" t="n">
        <v>46252</v>
      </c>
    </row>
    <row r="145">
      <c r="A145" s="54" t="n">
        <v>212522538</v>
      </c>
      <c r="B145" s="54" t="inlineStr">
        <is>
          <t>VIVO</t>
        </is>
      </c>
      <c r="C145" s="54" t="n">
        <v>15998051033</v>
      </c>
      <c r="D145" s="54" t="inlineStr">
        <is>
          <t>42550</t>
        </is>
      </c>
      <c r="E145" s="54" t="inlineStr">
        <is>
          <t>C02 - SUZANO CBO</t>
        </is>
      </c>
      <c r="F145" s="49" t="inlineStr">
        <is>
          <t>010316727</t>
        </is>
      </c>
      <c r="G145" s="54" t="inlineStr">
        <is>
          <t>ELIEL LOURENCO DA CRUZ</t>
        </is>
      </c>
      <c r="H145" s="49" t="inlineStr">
        <is>
          <t>30597020809</t>
        </is>
      </c>
      <c r="I145" s="55" t="n">
        <v>46235</v>
      </c>
      <c r="J145" s="84" t="n">
        <v>39.59</v>
      </c>
      <c r="K145" s="57" t="inlineStr">
        <is>
          <t>ATIVA</t>
        </is>
      </c>
      <c r="L145" s="58" t="n">
        <v>46252</v>
      </c>
    </row>
    <row r="146">
      <c r="A146" s="54" t="n">
        <v>212522538</v>
      </c>
      <c r="B146" s="54" t="inlineStr">
        <is>
          <t>VIVO</t>
        </is>
      </c>
      <c r="C146" s="54" t="n">
        <v>67998200239</v>
      </c>
      <c r="D146" s="54" t="inlineStr">
        <is>
          <t>12</t>
        </is>
      </c>
      <c r="E146" s="54" t="inlineStr">
        <is>
          <t>SUPRIMENTOS E FROTAS</t>
        </is>
      </c>
      <c r="F146" s="49" t="inlineStr">
        <is>
          <t>410101183</t>
        </is>
      </c>
      <c r="G146" s="54" t="inlineStr">
        <is>
          <t>ELLEN MEIRELES MACHADO</t>
        </is>
      </c>
      <c r="H146" s="49" t="inlineStr">
        <is>
          <t>04626782027</t>
        </is>
      </c>
      <c r="I146" s="55" t="n">
        <v>46235</v>
      </c>
      <c r="J146" s="84" t="n">
        <v>54.63</v>
      </c>
      <c r="K146" s="57" t="inlineStr">
        <is>
          <t>ATIVA</t>
        </is>
      </c>
      <c r="L146" s="58" t="n">
        <v>46252</v>
      </c>
    </row>
    <row r="147">
      <c r="A147" s="54" t="n">
        <v>212522538</v>
      </c>
      <c r="B147" s="54" t="inlineStr">
        <is>
          <t>VIVO</t>
        </is>
      </c>
      <c r="C147" s="54" t="n">
        <v>15998016057</v>
      </c>
      <c r="D147" s="54" t="n">
        <v>42550</v>
      </c>
      <c r="E147" s="54" t="inlineStr">
        <is>
          <t>C02 - SUZANO CBO</t>
        </is>
      </c>
      <c r="F147" s="54" t="n">
        <v>10220000</v>
      </c>
      <c r="G147" s="54" t="inlineStr">
        <is>
          <t>ELPIDIO GUIMARAES NETO</t>
        </is>
      </c>
      <c r="H147" s="49" t="inlineStr">
        <is>
          <t>51028742843</t>
        </is>
      </c>
      <c r="I147" s="55" t="n">
        <v>46235</v>
      </c>
      <c r="J147" s="84" t="n">
        <v>39.59</v>
      </c>
      <c r="K147" s="57" t="inlineStr">
        <is>
          <t>ATIVA</t>
        </is>
      </c>
      <c r="L147" s="58" t="n">
        <v>46252</v>
      </c>
    </row>
    <row r="148">
      <c r="A148" s="54" t="inlineStr">
        <is>
          <t>71768171</t>
        </is>
      </c>
      <c r="B148" s="54" t="inlineStr">
        <is>
          <t>TIM</t>
        </is>
      </c>
      <c r="C148" s="54" t="inlineStr">
        <is>
          <t>15981470517</t>
        </is>
      </c>
      <c r="D148" s="54" t="inlineStr">
        <is>
          <t>51201</t>
        </is>
      </c>
      <c r="E148" s="54" t="inlineStr">
        <is>
          <t>C12 - KLABIN IBAITI</t>
        </is>
      </c>
      <c r="F148" s="49" t="inlineStr">
        <is>
          <t>701001053</t>
        </is>
      </c>
      <c r="G148" s="54" t="inlineStr">
        <is>
          <t>Diego Santos Amorim</t>
        </is>
      </c>
      <c r="H148" s="49" t="n"/>
      <c r="I148" s="55" t="n">
        <v>46235</v>
      </c>
      <c r="J148" s="84" t="n">
        <v>32</v>
      </c>
      <c r="K148" s="54" t="inlineStr">
        <is>
          <t>VERIFICAR</t>
        </is>
      </c>
      <c r="L148" s="58" t="n">
        <v>46252</v>
      </c>
    </row>
    <row r="149">
      <c r="A149" s="54" t="n">
        <v>212522538</v>
      </c>
      <c r="B149" s="54" t="inlineStr">
        <is>
          <t>VIVO</t>
        </is>
      </c>
      <c r="C149" s="54" t="n">
        <v>15996417244</v>
      </c>
      <c r="D149" s="54" t="inlineStr">
        <is>
          <t>42501</t>
        </is>
      </c>
      <c r="E149" s="54" t="inlineStr">
        <is>
          <t>C02 - BRACELL CBO</t>
        </is>
      </c>
      <c r="F149" s="49" t="inlineStr">
        <is>
          <t>010220001</t>
        </is>
      </c>
      <c r="G149" s="54" t="inlineStr">
        <is>
          <t>ELTON NUNES DE QUEIROZ DE SOUZA</t>
        </is>
      </c>
      <c r="H149" s="49" t="inlineStr">
        <is>
          <t>41104304880</t>
        </is>
      </c>
      <c r="I149" s="55" t="n">
        <v>46235</v>
      </c>
      <c r="J149" s="84" t="n">
        <v>39.59</v>
      </c>
      <c r="K149" s="57" t="inlineStr">
        <is>
          <t>ATIVA</t>
        </is>
      </c>
      <c r="L149" s="58" t="n">
        <v>46252</v>
      </c>
    </row>
    <row r="150">
      <c r="A150" s="54" t="inlineStr">
        <is>
          <t>71768171</t>
        </is>
      </c>
      <c r="B150" s="54" t="inlineStr">
        <is>
          <t>TIM</t>
        </is>
      </c>
      <c r="C150" s="54" t="inlineStr">
        <is>
          <t>15981710645</t>
        </is>
      </c>
      <c r="D150" s="54" t="inlineStr">
        <is>
          <t>51450</t>
        </is>
      </c>
      <c r="E150" s="54" t="inlineStr">
        <is>
          <t>C13 - KLABIN PR DRONE</t>
        </is>
      </c>
      <c r="F150" s="49" t="inlineStr">
        <is>
          <t>701001243</t>
        </is>
      </c>
      <c r="G150" s="54" t="inlineStr">
        <is>
          <t>Dionatas Aparecido Lopes</t>
        </is>
      </c>
      <c r="H150" s="49" t="n"/>
      <c r="I150" s="55" t="n">
        <v>46235</v>
      </c>
      <c r="J150" s="84" t="n">
        <v>37.59</v>
      </c>
      <c r="K150" s="54" t="inlineStr">
        <is>
          <t>VERIFICAR</t>
        </is>
      </c>
      <c r="L150" s="58" t="n">
        <v>46252</v>
      </c>
    </row>
    <row r="151">
      <c r="A151" s="54" t="n">
        <v>212522538</v>
      </c>
      <c r="B151" s="54" t="inlineStr">
        <is>
          <t>VIVO</t>
        </is>
      </c>
      <c r="C151" s="54" t="n">
        <v>15998158693</v>
      </c>
      <c r="D151" s="54" t="n">
        <v>41201</v>
      </c>
      <c r="E151" s="54" t="inlineStr">
        <is>
          <t>BRACELL DUARTINA</t>
        </is>
      </c>
      <c r="F151" s="49" t="inlineStr">
        <is>
          <t>FROTA</t>
        </is>
      </c>
      <c r="G151" s="54" t="inlineStr">
        <is>
          <t>ERF0J25</t>
        </is>
      </c>
      <c r="H151" s="49" t="n"/>
      <c r="I151" s="55" t="n">
        <v>46235</v>
      </c>
      <c r="J151" s="84" t="n">
        <v>39.59</v>
      </c>
      <c r="K151" s="57" t="inlineStr">
        <is>
          <t>ATIVA</t>
        </is>
      </c>
      <c r="L151" s="58" t="n">
        <v>46252</v>
      </c>
    </row>
    <row r="152">
      <c r="A152" s="54" t="n">
        <v>212522538</v>
      </c>
      <c r="B152" s="54" t="inlineStr">
        <is>
          <t>VIVO</t>
        </is>
      </c>
      <c r="C152" s="54" t="n">
        <v>15996569096</v>
      </c>
      <c r="D152" s="54" t="n">
        <v>41201</v>
      </c>
      <c r="E152" s="54" t="inlineStr">
        <is>
          <t>BRACELL DUARTINA</t>
        </is>
      </c>
      <c r="F152" s="49" t="inlineStr">
        <is>
          <t>FROTA</t>
        </is>
      </c>
      <c r="G152" s="54" t="inlineStr">
        <is>
          <t>ERF2267</t>
        </is>
      </c>
      <c r="H152" s="49" t="n"/>
      <c r="I152" s="55" t="n">
        <v>46235</v>
      </c>
      <c r="J152" s="84" t="n">
        <v>39.59</v>
      </c>
      <c r="K152" s="57" t="inlineStr">
        <is>
          <t>ATIVA</t>
        </is>
      </c>
      <c r="L152" s="58" t="n">
        <v>46252</v>
      </c>
    </row>
    <row r="153">
      <c r="A153" s="54" t="n">
        <v>212522538</v>
      </c>
      <c r="B153" s="54" t="inlineStr">
        <is>
          <t>VIVO</t>
        </is>
      </c>
      <c r="C153" s="54" t="n">
        <v>15997482231</v>
      </c>
      <c r="D153" s="54" t="n">
        <v>41401</v>
      </c>
      <c r="E153" s="54" t="inlineStr">
        <is>
          <t>C03 - BRACELL DOURADO</t>
        </is>
      </c>
      <c r="F153" s="49" t="inlineStr">
        <is>
          <t>FROTA</t>
        </is>
      </c>
      <c r="G153" s="54" t="inlineStr">
        <is>
          <t>DOURADO - VERIFICAR</t>
        </is>
      </c>
      <c r="H153" s="49" t="n"/>
      <c r="I153" s="55" t="n">
        <v>46235</v>
      </c>
      <c r="J153" s="84" t="n">
        <v>39.59</v>
      </c>
      <c r="K153" s="68" t="inlineStr">
        <is>
          <t>VERIFICAR</t>
        </is>
      </c>
      <c r="L153" s="58" t="n">
        <v>46252</v>
      </c>
    </row>
    <row r="154">
      <c r="A154" s="54" t="n">
        <v>212522538</v>
      </c>
      <c r="B154" s="54" t="inlineStr">
        <is>
          <t>VIVO</t>
        </is>
      </c>
      <c r="C154" s="54" t="n">
        <v>15996664956</v>
      </c>
      <c r="D154" s="54" t="inlineStr">
        <is>
          <t>14</t>
        </is>
      </c>
      <c r="E154" s="54" t="inlineStr">
        <is>
          <t>FINANCAS, PROCESSOS E FACILITIES</t>
        </is>
      </c>
      <c r="F154" s="49" t="inlineStr">
        <is>
          <t>010618220</t>
        </is>
      </c>
      <c r="G154" s="54" t="inlineStr">
        <is>
          <t>ERICK FERREIRA PONTES</t>
        </is>
      </c>
      <c r="H154" s="49" t="inlineStr">
        <is>
          <t>54104739812</t>
        </is>
      </c>
      <c r="I154" s="55" t="n">
        <v>46235</v>
      </c>
      <c r="J154" s="84" t="n">
        <v>39.59</v>
      </c>
      <c r="K154" s="57" t="inlineStr">
        <is>
          <t>ATIVA</t>
        </is>
      </c>
      <c r="L154" s="58" t="n">
        <v>46252</v>
      </c>
    </row>
    <row r="155">
      <c r="A155" s="54" t="n">
        <v>212522538</v>
      </c>
      <c r="B155" s="54" t="inlineStr">
        <is>
          <t>VIVO</t>
        </is>
      </c>
      <c r="C155" s="54" t="n">
        <v>15996065686</v>
      </c>
      <c r="D155" s="68" t="n">
        <v>41401</v>
      </c>
      <c r="E155" s="54" t="inlineStr">
        <is>
          <t>C03 - BRACELL DOURADO</t>
        </is>
      </c>
      <c r="F155" s="49" t="inlineStr">
        <is>
          <t>FORA SIGO</t>
        </is>
      </c>
      <c r="G155" s="54" t="inlineStr">
        <is>
          <t>ESCRITORIO DOURADO</t>
        </is>
      </c>
      <c r="H155" s="49" t="n"/>
      <c r="I155" s="55" t="n">
        <v>46235</v>
      </c>
      <c r="J155" s="84" t="n">
        <v>39.59</v>
      </c>
      <c r="K155" s="68" t="inlineStr">
        <is>
          <t>ATIVA</t>
        </is>
      </c>
      <c r="L155" s="58" t="n">
        <v>46252</v>
      </c>
    </row>
    <row r="156">
      <c r="A156" s="54" t="n">
        <v>212522538</v>
      </c>
      <c r="B156" s="54" t="inlineStr">
        <is>
          <t>VIVO</t>
        </is>
      </c>
      <c r="C156" s="54" t="n">
        <v>15997666670</v>
      </c>
      <c r="D156" s="54" t="inlineStr">
        <is>
          <t>2035</t>
        </is>
      </c>
      <c r="E156" s="54" t="inlineStr">
        <is>
          <t>OFICINA EUCATEX ITATINGA</t>
        </is>
      </c>
      <c r="F156" s="49" t="inlineStr">
        <is>
          <t>010313720</t>
        </is>
      </c>
      <c r="G156" s="54" t="inlineStr">
        <is>
          <t>EURIPEDES CARLOS RODRIGUES</t>
        </is>
      </c>
      <c r="H156" s="49" t="inlineStr">
        <is>
          <t>07178692880</t>
        </is>
      </c>
      <c r="I156" s="55" t="n">
        <v>46235</v>
      </c>
      <c r="J156" s="84" t="n">
        <v>39.59</v>
      </c>
      <c r="K156" s="57" t="inlineStr">
        <is>
          <t>ATIVA</t>
        </is>
      </c>
      <c r="L156" s="58" t="n">
        <v>46252</v>
      </c>
    </row>
    <row r="157">
      <c r="A157" s="54" t="n">
        <v>212522538</v>
      </c>
      <c r="B157" s="54" t="inlineStr">
        <is>
          <t>VIVO</t>
        </is>
      </c>
      <c r="C157" s="54" t="n">
        <v>15996372615</v>
      </c>
      <c r="D157" s="54" t="inlineStr">
        <is>
          <t>2035</t>
        </is>
      </c>
      <c r="E157" s="54" t="inlineStr">
        <is>
          <t>OFICINA EUCATEX ITATINGA</t>
        </is>
      </c>
      <c r="F157" s="49" t="inlineStr">
        <is>
          <t>010313720</t>
        </is>
      </c>
      <c r="G157" s="54" t="inlineStr">
        <is>
          <t>EURIPEDES CARLOS RODRIGUES</t>
        </is>
      </c>
      <c r="H157" s="49" t="inlineStr">
        <is>
          <t>07178692880</t>
        </is>
      </c>
      <c r="I157" s="55" t="n">
        <v>46235</v>
      </c>
      <c r="J157" s="84" t="n">
        <v>39.59</v>
      </c>
      <c r="K157" s="57" t="inlineStr">
        <is>
          <t>ATIVA</t>
        </is>
      </c>
      <c r="L157" s="58" t="n">
        <v>46252</v>
      </c>
    </row>
    <row r="158">
      <c r="A158" s="54" t="n">
        <v>212522538</v>
      </c>
      <c r="B158" s="54" t="inlineStr">
        <is>
          <t>VIVO</t>
        </is>
      </c>
      <c r="C158" s="54" t="n">
        <v>15996797731</v>
      </c>
      <c r="D158" s="54" t="n">
        <v>320</v>
      </c>
      <c r="E158" s="54" t="inlineStr">
        <is>
          <t>GESTAO OP MS1</t>
        </is>
      </c>
      <c r="F158" s="49" t="inlineStr">
        <is>
          <t>FROTA</t>
        </is>
      </c>
      <c r="G158" s="54" t="inlineStr">
        <is>
          <t>FROTA SEM ID</t>
        </is>
      </c>
      <c r="H158" s="49" t="n"/>
      <c r="I158" s="55" t="n">
        <v>46235</v>
      </c>
      <c r="J158" s="84" t="n">
        <v>39.59</v>
      </c>
      <c r="K158" s="68" t="inlineStr">
        <is>
          <t>VERIFICAR</t>
        </is>
      </c>
      <c r="L158" s="58" t="n">
        <v>46252</v>
      </c>
    </row>
    <row r="159">
      <c r="A159" s="54" t="n">
        <v>212522538</v>
      </c>
      <c r="B159" s="54" t="inlineStr">
        <is>
          <t>VIVO</t>
        </is>
      </c>
      <c r="C159" s="54" t="n">
        <v>15996845932</v>
      </c>
      <c r="D159" s="54" t="n">
        <v>320</v>
      </c>
      <c r="E159" s="54" t="inlineStr">
        <is>
          <t>GESTAO OP MS1</t>
        </is>
      </c>
      <c r="F159" s="49" t="inlineStr">
        <is>
          <t>FROTA</t>
        </is>
      </c>
      <c r="G159" s="54" t="inlineStr">
        <is>
          <t>FROTA SEM ID</t>
        </is>
      </c>
      <c r="H159" s="49" t="n"/>
      <c r="I159" s="55" t="n">
        <v>46235</v>
      </c>
      <c r="J159" s="84" t="n">
        <v>39.59</v>
      </c>
      <c r="K159" s="68" t="inlineStr">
        <is>
          <t>VERIFICAR</t>
        </is>
      </c>
      <c r="L159" s="58" t="n">
        <v>46252</v>
      </c>
    </row>
    <row r="160">
      <c r="A160" s="54" t="n">
        <v>212522538</v>
      </c>
      <c r="B160" s="54" t="inlineStr">
        <is>
          <t>VIVO</t>
        </is>
      </c>
      <c r="C160" s="54" t="n">
        <v>15996989788</v>
      </c>
      <c r="D160" s="54" t="n">
        <v>320</v>
      </c>
      <c r="E160" s="54" t="inlineStr">
        <is>
          <t>GESTAO OP MS1</t>
        </is>
      </c>
      <c r="F160" s="49" t="inlineStr">
        <is>
          <t>FROTA</t>
        </is>
      </c>
      <c r="G160" s="54" t="inlineStr">
        <is>
          <t>FROTA SEM ID</t>
        </is>
      </c>
      <c r="H160" s="49" t="n"/>
      <c r="I160" s="55" t="n">
        <v>46235</v>
      </c>
      <c r="J160" s="84" t="n">
        <v>39.59</v>
      </c>
      <c r="K160" s="68" t="inlineStr">
        <is>
          <t>VERIFICAR</t>
        </is>
      </c>
      <c r="L160" s="58" t="n">
        <v>46252</v>
      </c>
    </row>
    <row r="161">
      <c r="A161" s="54" t="n">
        <v>212522538</v>
      </c>
      <c r="B161" s="54" t="inlineStr">
        <is>
          <t>VIVO</t>
        </is>
      </c>
      <c r="C161" s="54" t="n">
        <v>15997858507</v>
      </c>
      <c r="D161" s="54" t="n">
        <v>320</v>
      </c>
      <c r="E161" s="54" t="inlineStr">
        <is>
          <t>GESTAO OP MS1</t>
        </is>
      </c>
      <c r="F161" s="49" t="inlineStr">
        <is>
          <t>FROTA</t>
        </is>
      </c>
      <c r="G161" s="54" t="inlineStr">
        <is>
          <t>FROTA SEM ID</t>
        </is>
      </c>
      <c r="H161" s="49" t="n"/>
      <c r="I161" s="55" t="n">
        <v>46235</v>
      </c>
      <c r="J161" s="84" t="n">
        <v>39.59</v>
      </c>
      <c r="K161" s="68" t="inlineStr">
        <is>
          <t>VERIFICAR</t>
        </is>
      </c>
      <c r="L161" s="58" t="n">
        <v>46252</v>
      </c>
    </row>
    <row r="162">
      <c r="A162" s="54" t="n">
        <v>212522538</v>
      </c>
      <c r="B162" s="54" t="inlineStr">
        <is>
          <t>VIVO</t>
        </is>
      </c>
      <c r="C162" s="54" t="n">
        <v>15998543806</v>
      </c>
      <c r="D162" s="54" t="n">
        <v>320</v>
      </c>
      <c r="E162" s="54" t="inlineStr">
        <is>
          <t>GESTAO OP MS1</t>
        </is>
      </c>
      <c r="F162" s="49" t="inlineStr">
        <is>
          <t>FROTA</t>
        </is>
      </c>
      <c r="G162" s="54" t="inlineStr">
        <is>
          <t>FROTA SEM ID</t>
        </is>
      </c>
      <c r="H162" s="49" t="n"/>
      <c r="I162" s="55" t="n">
        <v>46235</v>
      </c>
      <c r="J162" s="84" t="n">
        <v>39.59</v>
      </c>
      <c r="K162" s="68" t="inlineStr">
        <is>
          <t>VERIFICAR</t>
        </is>
      </c>
      <c r="L162" s="58" t="n">
        <v>46252</v>
      </c>
    </row>
    <row r="163">
      <c r="A163" s="54" t="n">
        <v>212522538</v>
      </c>
      <c r="B163" s="54" t="inlineStr">
        <is>
          <t>VIVO</t>
        </is>
      </c>
      <c r="C163" s="54" t="n">
        <v>15997784896</v>
      </c>
      <c r="D163" s="54" t="n">
        <v>42550</v>
      </c>
      <c r="E163" s="68" t="inlineStr">
        <is>
          <t>C02 - SUZANO CBO</t>
        </is>
      </c>
      <c r="F163" s="49" t="inlineStr">
        <is>
          <t>FROTA</t>
        </is>
      </c>
      <c r="G163" s="54" t="inlineStr">
        <is>
          <t>FROTA SEM ID</t>
        </is>
      </c>
      <c r="H163" s="49" t="n"/>
      <c r="I163" s="55" t="n">
        <v>46235</v>
      </c>
      <c r="J163" s="84" t="n">
        <v>39.59</v>
      </c>
      <c r="K163" s="68" t="inlineStr">
        <is>
          <t>VERIFICAR</t>
        </is>
      </c>
      <c r="L163" s="58" t="n">
        <v>46252</v>
      </c>
    </row>
    <row r="164">
      <c r="A164" s="54" t="n">
        <v>212522538</v>
      </c>
      <c r="B164" s="54" t="inlineStr">
        <is>
          <t>VIVO</t>
        </is>
      </c>
      <c r="C164" s="54" t="n">
        <v>67998025088</v>
      </c>
      <c r="D164" s="54" t="n">
        <v>42550</v>
      </c>
      <c r="E164" s="68" t="inlineStr">
        <is>
          <t>C02 - SUZANO CBO</t>
        </is>
      </c>
      <c r="F164" s="49" t="inlineStr">
        <is>
          <t>FROTA</t>
        </is>
      </c>
      <c r="G164" s="54" t="inlineStr">
        <is>
          <t>FROTA SEM ID</t>
        </is>
      </c>
      <c r="H164" s="49" t="n"/>
      <c r="I164" s="55" t="n">
        <v>46235</v>
      </c>
      <c r="J164" s="84" t="n">
        <v>54.63</v>
      </c>
      <c r="K164" s="68" t="inlineStr">
        <is>
          <t>VERIFICAR</t>
        </is>
      </c>
      <c r="L164" s="58" t="n">
        <v>46252</v>
      </c>
    </row>
    <row r="165">
      <c r="A165" s="54" t="n">
        <v>212522538</v>
      </c>
      <c r="B165" s="54" t="inlineStr">
        <is>
          <t>VIVO</t>
        </is>
      </c>
      <c r="C165" s="54" t="n">
        <v>67999987092</v>
      </c>
      <c r="D165" s="54" t="n">
        <v>42550</v>
      </c>
      <c r="E165" s="68" t="inlineStr">
        <is>
          <t>C02 - SUZANO CBO</t>
        </is>
      </c>
      <c r="F165" s="49" t="inlineStr">
        <is>
          <t>FROTA</t>
        </is>
      </c>
      <c r="G165" s="68" t="inlineStr">
        <is>
          <t>FROTA SEM ID</t>
        </is>
      </c>
      <c r="H165" s="49" t="n"/>
      <c r="I165" s="55" t="n">
        <v>46235</v>
      </c>
      <c r="J165" s="84" t="n">
        <v>54.63</v>
      </c>
      <c r="K165" s="68" t="inlineStr">
        <is>
          <t>VERIFICAR</t>
        </is>
      </c>
      <c r="L165" s="58" t="n">
        <v>46252</v>
      </c>
    </row>
    <row r="166">
      <c r="A166" s="54" t="n">
        <v>212522538</v>
      </c>
      <c r="B166" s="54" t="inlineStr">
        <is>
          <t>VIVO</t>
        </is>
      </c>
      <c r="C166" s="54" t="n">
        <v>15997387513</v>
      </c>
      <c r="D166" s="54" t="inlineStr">
        <is>
          <t>42550</t>
        </is>
      </c>
      <c r="E166" s="54" t="inlineStr">
        <is>
          <t>C02 - SUZANO CBO</t>
        </is>
      </c>
      <c r="F166" s="49" t="inlineStr">
        <is>
          <t>010315648</t>
        </is>
      </c>
      <c r="G166" s="54" t="inlineStr">
        <is>
          <t>EVANDRO CARLOS DE OLIVEIRA</t>
        </is>
      </c>
      <c r="H166" s="49" t="inlineStr">
        <is>
          <t>24946950826</t>
        </is>
      </c>
      <c r="I166" s="55" t="n">
        <v>46235</v>
      </c>
      <c r="J166" s="84" t="n">
        <v>49.13</v>
      </c>
      <c r="K166" s="57" t="inlineStr">
        <is>
          <t>ATIVA</t>
        </is>
      </c>
      <c r="L166" s="58" t="n">
        <v>46252</v>
      </c>
    </row>
    <row r="167">
      <c r="A167" s="54" t="inlineStr">
        <is>
          <t>71768171</t>
        </is>
      </c>
      <c r="B167" s="54" t="inlineStr">
        <is>
          <t>TIM</t>
        </is>
      </c>
      <c r="C167" s="54" t="inlineStr">
        <is>
          <t>15981820216</t>
        </is>
      </c>
      <c r="D167" s="54" t="inlineStr">
        <is>
          <t>51450</t>
        </is>
      </c>
      <c r="E167" s="54" t="inlineStr">
        <is>
          <t>C13 - KLABIN PR DRONE</t>
        </is>
      </c>
      <c r="F167" s="49" t="inlineStr">
        <is>
          <t>701003131</t>
        </is>
      </c>
      <c r="G167" s="54" t="inlineStr">
        <is>
          <t>Edilson De Almeida Santos</t>
        </is>
      </c>
      <c r="H167" s="49" t="n"/>
      <c r="I167" s="55" t="n">
        <v>46235</v>
      </c>
      <c r="J167" s="84" t="n">
        <v>35</v>
      </c>
      <c r="K167" s="54" t="inlineStr">
        <is>
          <t>VERIFICAR</t>
        </is>
      </c>
      <c r="L167" s="58" t="n">
        <v>46252</v>
      </c>
    </row>
    <row r="168">
      <c r="A168" s="54" t="inlineStr">
        <is>
          <t>71768171</t>
        </is>
      </c>
      <c r="B168" s="54" t="inlineStr">
        <is>
          <t>TIM</t>
        </is>
      </c>
      <c r="C168" s="54" t="inlineStr">
        <is>
          <t>15981880079</t>
        </is>
      </c>
      <c r="D168" s="54" t="inlineStr">
        <is>
          <t>51301</t>
        </is>
      </c>
      <c r="E168" s="54" t="inlineStr">
        <is>
          <t>C13 - KLABIN CURIUVA</t>
        </is>
      </c>
      <c r="F168" s="49" t="inlineStr">
        <is>
          <t>701001862</t>
        </is>
      </c>
      <c r="G168" s="54" t="inlineStr">
        <is>
          <t>Edilson Nunes Da Silva</t>
        </is>
      </c>
      <c r="H168" s="49" t="n"/>
      <c r="I168" s="55" t="n">
        <v>46235</v>
      </c>
      <c r="J168" s="84" t="n">
        <v>32.58</v>
      </c>
      <c r="K168" s="54" t="inlineStr">
        <is>
          <t>VERIFICAR</t>
        </is>
      </c>
      <c r="L168" s="58" t="n">
        <v>46252</v>
      </c>
    </row>
    <row r="169">
      <c r="A169" s="54" t="n">
        <v>212522538</v>
      </c>
      <c r="B169" s="54" t="inlineStr">
        <is>
          <t>VIVO</t>
        </is>
      </c>
      <c r="C169" s="54" t="n">
        <v>15996159134</v>
      </c>
      <c r="D169" s="54" t="n">
        <v>42501</v>
      </c>
      <c r="E169" s="54" t="inlineStr">
        <is>
          <t>C02 - BRACELL CBO</t>
        </is>
      </c>
      <c r="F169" s="49" t="inlineStr">
        <is>
          <t>FROTA</t>
        </is>
      </c>
      <c r="G169" s="54" t="inlineStr">
        <is>
          <t>FROTA CBO - VERIFICAR</t>
        </is>
      </c>
      <c r="H169" s="49" t="n"/>
      <c r="I169" s="55" t="n">
        <v>46235</v>
      </c>
      <c r="J169" s="84" t="n">
        <v>39.59</v>
      </c>
      <c r="K169" s="54" t="inlineStr">
        <is>
          <t>VERIFICAR</t>
        </is>
      </c>
      <c r="L169" s="58" t="n">
        <v>46252</v>
      </c>
    </row>
    <row r="170">
      <c r="A170" s="54" t="n">
        <v>212522538</v>
      </c>
      <c r="B170" s="54" t="inlineStr">
        <is>
          <t>VIVO</t>
        </is>
      </c>
      <c r="C170" s="54" t="n">
        <v>15996073196</v>
      </c>
      <c r="D170" s="54" t="inlineStr">
        <is>
          <t>42201</t>
        </is>
      </c>
      <c r="E170" s="54" t="inlineStr">
        <is>
          <t>C04 - SUZANO SANTA BRANCA</t>
        </is>
      </c>
      <c r="F170" s="62" t="inlineStr">
        <is>
          <t>010412636</t>
        </is>
      </c>
      <c r="G170" s="54" t="inlineStr">
        <is>
          <t>EVERTON APARECIDO DOS SANTOS</t>
        </is>
      </c>
      <c r="H170" s="49" t="inlineStr">
        <is>
          <t>43849627896</t>
        </is>
      </c>
      <c r="I170" s="55" t="n">
        <v>46235</v>
      </c>
      <c r="J170" s="84" t="n">
        <v>39.59</v>
      </c>
      <c r="K170" s="57" t="inlineStr">
        <is>
          <t>ATIVA</t>
        </is>
      </c>
      <c r="L170" s="58" t="n">
        <v>46252</v>
      </c>
    </row>
    <row r="171">
      <c r="A171" s="54" t="n">
        <v>212522538</v>
      </c>
      <c r="B171" s="54" t="inlineStr">
        <is>
          <t>VIVO</t>
        </is>
      </c>
      <c r="C171" s="54" t="n">
        <v>15996354249</v>
      </c>
      <c r="D171" s="54" t="inlineStr">
        <is>
          <t>41301</t>
        </is>
      </c>
      <c r="E171" s="54" t="inlineStr">
        <is>
          <t>C05 - SUZANO LENCOIS PAULISTA</t>
        </is>
      </c>
      <c r="F171" s="49" t="inlineStr">
        <is>
          <t>010317341</t>
        </is>
      </c>
      <c r="G171" s="54" t="inlineStr">
        <is>
          <t>EXODO CANTANHEDE DA SILVA</t>
        </is>
      </c>
      <c r="H171" s="49" t="inlineStr">
        <is>
          <t>62742277331</t>
        </is>
      </c>
      <c r="I171" s="55" t="n">
        <v>46235</v>
      </c>
      <c r="J171" s="84" t="n">
        <v>39.59</v>
      </c>
      <c r="K171" s="57" t="inlineStr">
        <is>
          <t>ATIVA</t>
        </is>
      </c>
      <c r="L171" s="58" t="n">
        <v>46252</v>
      </c>
    </row>
    <row r="172">
      <c r="A172" s="54" t="n">
        <v>212522538</v>
      </c>
      <c r="B172" s="54" t="inlineStr">
        <is>
          <t>VIVO</t>
        </is>
      </c>
      <c r="C172" s="54" t="n">
        <v>67996052275</v>
      </c>
      <c r="D172" s="54" t="n">
        <v>32301</v>
      </c>
      <c r="E172" s="54" t="inlineStr">
        <is>
          <t>C07 - SUZANO MANUTENCAO TRES LAGOAS</t>
        </is>
      </c>
      <c r="F172" s="49" t="inlineStr">
        <is>
          <t>210106495</t>
        </is>
      </c>
      <c r="G172" s="54" t="inlineStr">
        <is>
          <t>FABIANO BARROS DE OLIVEIRA</t>
        </is>
      </c>
      <c r="H172" s="49" t="inlineStr">
        <is>
          <t>06389551142</t>
        </is>
      </c>
      <c r="I172" s="55" t="n">
        <v>46235</v>
      </c>
      <c r="J172" s="84" t="n">
        <v>39.59</v>
      </c>
      <c r="K172" s="57" t="inlineStr">
        <is>
          <t>ATIVA</t>
        </is>
      </c>
      <c r="L172" s="58" t="n">
        <v>46252</v>
      </c>
    </row>
    <row r="173">
      <c r="A173" s="54" t="n">
        <v>212522538</v>
      </c>
      <c r="B173" s="54" t="inlineStr">
        <is>
          <t>VIVO</t>
        </is>
      </c>
      <c r="C173" s="54" t="n">
        <v>67999055737</v>
      </c>
      <c r="D173" s="54" t="inlineStr">
        <is>
          <t>42301</t>
        </is>
      </c>
      <c r="E173" s="54" t="inlineStr">
        <is>
          <t>C04 - SUZANO CACAPAVA</t>
        </is>
      </c>
      <c r="F173" s="49" t="inlineStr">
        <is>
          <t>010421757</t>
        </is>
      </c>
      <c r="G173" s="54" t="inlineStr">
        <is>
          <t>FABIO JUNIOR NUNES</t>
        </is>
      </c>
      <c r="H173" s="49" t="inlineStr">
        <is>
          <t>30502589850</t>
        </is>
      </c>
      <c r="I173" s="55" t="n">
        <v>46235</v>
      </c>
      <c r="J173" s="84" t="n">
        <v>39.59</v>
      </c>
      <c r="K173" s="57" t="inlineStr">
        <is>
          <t>ATIVA</t>
        </is>
      </c>
      <c r="L173" s="58" t="n">
        <v>46252</v>
      </c>
    </row>
    <row r="174">
      <c r="A174" s="54" t="inlineStr">
        <is>
          <t>71768171</t>
        </is>
      </c>
      <c r="B174" s="54" t="inlineStr">
        <is>
          <t>TIM</t>
        </is>
      </c>
      <c r="C174" s="54" t="inlineStr">
        <is>
          <t>15981820458</t>
        </is>
      </c>
      <c r="D174" s="54" t="inlineStr">
        <is>
          <t>42500</t>
        </is>
      </c>
      <c r="E174" s="54" t="inlineStr">
        <is>
          <t>GESTAO OP SUZANO CBO</t>
        </is>
      </c>
      <c r="F174" s="49" t="inlineStr">
        <is>
          <t>10307991</t>
        </is>
      </c>
      <c r="G174" s="54" t="inlineStr">
        <is>
          <t>EDUARDO ANTONIO DE CARVALHO</t>
        </is>
      </c>
      <c r="H174" s="49" t="inlineStr">
        <is>
          <t>37737800875</t>
        </is>
      </c>
      <c r="I174" s="55" t="n">
        <v>46235</v>
      </c>
      <c r="J174" s="84" t="n">
        <v>35</v>
      </c>
      <c r="K174" s="54" t="inlineStr">
        <is>
          <t>DESLIGADO</t>
        </is>
      </c>
      <c r="L174" s="58" t="n">
        <v>46252</v>
      </c>
    </row>
    <row r="175">
      <c r="A175" s="54" t="n">
        <v>212522538</v>
      </c>
      <c r="B175" s="54" t="inlineStr">
        <is>
          <t>VIVO</t>
        </is>
      </c>
      <c r="C175" s="54" t="n">
        <v>15997950198</v>
      </c>
      <c r="D175" s="54" t="n">
        <v>42501</v>
      </c>
      <c r="E175" s="54" t="inlineStr">
        <is>
          <t>C02 - BRACELL CBO</t>
        </is>
      </c>
      <c r="F175" s="74" t="inlineStr">
        <is>
          <t>FROTA</t>
        </is>
      </c>
      <c r="G175" s="54" t="inlineStr">
        <is>
          <t>FROTA CBO - VERIFICAR</t>
        </is>
      </c>
      <c r="H175" s="49" t="n"/>
      <c r="I175" s="55" t="n">
        <v>46235</v>
      </c>
      <c r="J175" s="84" t="n">
        <v>39.59</v>
      </c>
      <c r="K175" s="54" t="inlineStr">
        <is>
          <t>VERIFICAR</t>
        </is>
      </c>
      <c r="L175" s="58" t="n">
        <v>46252</v>
      </c>
    </row>
    <row r="176">
      <c r="A176" s="54" t="n">
        <v>212522538</v>
      </c>
      <c r="B176" s="54" t="inlineStr">
        <is>
          <t>VIVO</t>
        </is>
      </c>
      <c r="C176" s="54" t="n">
        <v>15998142495</v>
      </c>
      <c r="D176" s="54" t="inlineStr">
        <is>
          <t>42500</t>
        </is>
      </c>
      <c r="E176" s="54" t="inlineStr">
        <is>
          <t>GESTAO OP SUZANO CBO</t>
        </is>
      </c>
      <c r="F176" s="49" t="inlineStr">
        <is>
          <t>010204683</t>
        </is>
      </c>
      <c r="G176" s="54" t="inlineStr">
        <is>
          <t>FABIO PEREIRA DE ALMEIDA</t>
        </is>
      </c>
      <c r="H176" s="49" t="inlineStr">
        <is>
          <t>33155678836</t>
        </is>
      </c>
      <c r="I176" s="55" t="n">
        <v>46235</v>
      </c>
      <c r="J176" s="84" t="n">
        <v>39.59</v>
      </c>
      <c r="K176" s="57" t="inlineStr">
        <is>
          <t>ATIVA</t>
        </is>
      </c>
      <c r="L176" s="58" t="n">
        <v>46252</v>
      </c>
    </row>
    <row r="177">
      <c r="A177" s="54" t="n">
        <v>212522538</v>
      </c>
      <c r="B177" s="54" t="inlineStr">
        <is>
          <t>VIVO</t>
        </is>
      </c>
      <c r="C177" s="54" t="n">
        <v>15998060535</v>
      </c>
      <c r="D177" s="54" t="inlineStr">
        <is>
          <t>42501</t>
        </is>
      </c>
      <c r="E177" s="54" t="inlineStr">
        <is>
          <t>C02 - BRACELL CBO</t>
        </is>
      </c>
      <c r="F177" s="49" t="inlineStr">
        <is>
          <t>010210954</t>
        </is>
      </c>
      <c r="G177" s="54" t="inlineStr">
        <is>
          <t>FABIO SILVANO DE LIMA SANTOS</t>
        </is>
      </c>
      <c r="H177" s="49" t="inlineStr">
        <is>
          <t>36993979802</t>
        </is>
      </c>
      <c r="I177" s="55" t="n">
        <v>46235</v>
      </c>
      <c r="J177" s="84" t="n">
        <v>39.59</v>
      </c>
      <c r="K177" s="57" t="inlineStr">
        <is>
          <t>ATIVA</t>
        </is>
      </c>
      <c r="L177" s="58" t="n">
        <v>46252</v>
      </c>
    </row>
    <row r="178">
      <c r="A178" s="54" t="n">
        <v>212522538</v>
      </c>
      <c r="B178" s="54" t="inlineStr">
        <is>
          <t>VIVO</t>
        </is>
      </c>
      <c r="C178" s="54" t="n">
        <v>15997789549</v>
      </c>
      <c r="D178" s="54" t="n">
        <v>42401</v>
      </c>
      <c r="E178" s="54" t="inlineStr">
        <is>
          <t>SUZANO SMA</t>
        </is>
      </c>
      <c r="F178" s="49" t="inlineStr">
        <is>
          <t>FROTA</t>
        </is>
      </c>
      <c r="G178" s="68" t="inlineStr">
        <is>
          <t>FROTA SEM ID</t>
        </is>
      </c>
      <c r="H178" s="49" t="n"/>
      <c r="I178" s="55" t="n">
        <v>46235</v>
      </c>
      <c r="J178" s="84" t="n">
        <v>39.59</v>
      </c>
      <c r="K178" s="68" t="inlineStr">
        <is>
          <t>VERIFICAR</t>
        </is>
      </c>
      <c r="L178" s="58" t="n">
        <v>46252</v>
      </c>
    </row>
    <row r="179">
      <c r="A179" s="54" t="inlineStr">
        <is>
          <t>71768171</t>
        </is>
      </c>
      <c r="B179" s="54" t="inlineStr">
        <is>
          <t>TIM</t>
        </is>
      </c>
      <c r="C179" s="54" t="inlineStr">
        <is>
          <t>15981632360</t>
        </is>
      </c>
      <c r="D179" s="54" t="inlineStr">
        <is>
          <t>51301</t>
        </is>
      </c>
      <c r="E179" s="54" t="inlineStr">
        <is>
          <t>C13 - KLABIN CURIUVA</t>
        </is>
      </c>
      <c r="F179" s="49" t="n"/>
      <c r="G179" s="54" t="inlineStr">
        <is>
          <t>Eleabe De Lima</t>
        </is>
      </c>
      <c r="H179" s="49" t="n"/>
      <c r="I179" s="55" t="n">
        <v>46235</v>
      </c>
      <c r="J179" s="84" t="n">
        <v>39.24</v>
      </c>
      <c r="K179" s="54" t="inlineStr">
        <is>
          <t>VERIFICAR</t>
        </is>
      </c>
      <c r="L179" s="58" t="n">
        <v>46252</v>
      </c>
    </row>
    <row r="180">
      <c r="A180" s="54" t="n">
        <v>212522538</v>
      </c>
      <c r="B180" s="54" t="inlineStr">
        <is>
          <t>VIVO</t>
        </is>
      </c>
      <c r="C180" s="54" t="n">
        <v>15998191159</v>
      </c>
      <c r="D180" s="54" t="n">
        <v>42501</v>
      </c>
      <c r="E180" s="54" t="inlineStr">
        <is>
          <t>C02 - BRACELL CBO</t>
        </is>
      </c>
      <c r="F180" s="74" t="inlineStr">
        <is>
          <t>FROTA</t>
        </is>
      </c>
      <c r="G180" s="54" t="inlineStr">
        <is>
          <t>FROTA CBO - VERIFICAR</t>
        </is>
      </c>
      <c r="H180" s="49" t="n"/>
      <c r="I180" s="55" t="n">
        <v>46235</v>
      </c>
      <c r="J180" s="84" t="n">
        <v>39.59</v>
      </c>
      <c r="K180" s="54" t="inlineStr">
        <is>
          <t>VERIFICAR</t>
        </is>
      </c>
      <c r="L180" s="58" t="n">
        <v>46252</v>
      </c>
    </row>
    <row r="181">
      <c r="A181" s="54" t="n">
        <v>212522538</v>
      </c>
      <c r="B181" s="54" t="inlineStr">
        <is>
          <t>VIVO</t>
        </is>
      </c>
      <c r="C181" s="54" t="n">
        <v>15998083487</v>
      </c>
      <c r="D181" s="54" t="n">
        <v>42201</v>
      </c>
      <c r="E181" s="54" t="inlineStr">
        <is>
          <t>C04 - SUZANO SANTA BRANCA</t>
        </is>
      </c>
      <c r="F181" s="74" t="inlineStr">
        <is>
          <t>010419457</t>
        </is>
      </c>
      <c r="G181" s="54" t="inlineStr">
        <is>
          <t>FELIPE RODRIGUES DE SOUSA</t>
        </is>
      </c>
      <c r="H181" s="49" t="inlineStr">
        <is>
          <t>41936390884</t>
        </is>
      </c>
      <c r="I181" s="55" t="n">
        <v>46235</v>
      </c>
      <c r="J181" s="84" t="n">
        <v>39.59</v>
      </c>
      <c r="K181" s="54" t="inlineStr">
        <is>
          <t>ATIVA</t>
        </is>
      </c>
      <c r="L181" s="58" t="n">
        <v>46252</v>
      </c>
    </row>
    <row r="182">
      <c r="A182" s="54" t="inlineStr">
        <is>
          <t>71768171</t>
        </is>
      </c>
      <c r="B182" s="54" t="inlineStr">
        <is>
          <t>TIM</t>
        </is>
      </c>
      <c r="C182" s="54" t="inlineStr">
        <is>
          <t>15981471591</t>
        </is>
      </c>
      <c r="D182" s="54" t="inlineStr">
        <is>
          <t>51201</t>
        </is>
      </c>
      <c r="E182" s="54" t="inlineStr">
        <is>
          <t>C12 - KLABIN IBAITI</t>
        </is>
      </c>
      <c r="F182" s="49" t="inlineStr">
        <is>
          <t>701000934</t>
        </is>
      </c>
      <c r="G182" s="54" t="inlineStr">
        <is>
          <t>ELITON DINIZ VIEIRA</t>
        </is>
      </c>
      <c r="H182" s="49" t="inlineStr">
        <is>
          <t>11081808926</t>
        </is>
      </c>
      <c r="I182" s="55" t="n">
        <v>46235</v>
      </c>
      <c r="J182" s="84" t="n">
        <v>32</v>
      </c>
      <c r="K182" s="57" t="inlineStr">
        <is>
          <t>ATIVA</t>
        </is>
      </c>
      <c r="L182" s="58" t="n">
        <v>46252</v>
      </c>
    </row>
    <row r="183">
      <c r="A183" s="54" t="inlineStr">
        <is>
          <t>71768171</t>
        </is>
      </c>
      <c r="B183" s="54" t="inlineStr">
        <is>
          <t>TIM</t>
        </is>
      </c>
      <c r="C183" s="54" t="inlineStr">
        <is>
          <t>15981700294</t>
        </is>
      </c>
      <c r="D183" s="54" t="inlineStr">
        <is>
          <t>510</t>
        </is>
      </c>
      <c r="E183" s="54" t="inlineStr">
        <is>
          <t>GESTAO OP PR2</t>
        </is>
      </c>
      <c r="F183" s="49" t="inlineStr">
        <is>
          <t>701001106</t>
        </is>
      </c>
      <c r="G183" s="54" t="inlineStr">
        <is>
          <t>Elizeu Da Silva</t>
        </is>
      </c>
      <c r="H183" s="49" t="n"/>
      <c r="I183" s="55" t="n">
        <v>46235</v>
      </c>
      <c r="J183" s="84" t="n">
        <v>38.02</v>
      </c>
      <c r="K183" s="54" t="inlineStr">
        <is>
          <t>VERIFICAR</t>
        </is>
      </c>
      <c r="L183" s="58" t="n">
        <v>46252</v>
      </c>
    </row>
    <row r="184">
      <c r="A184" s="54" t="n">
        <v>212522538</v>
      </c>
      <c r="B184" s="54" t="inlineStr">
        <is>
          <t>VIVO</t>
        </is>
      </c>
      <c r="C184" s="63" t="n">
        <v>15991837586</v>
      </c>
      <c r="D184" s="63" t="n">
        <v>91006</v>
      </c>
      <c r="E184" s="63" t="inlineStr">
        <is>
          <t>DIRETORIA EXECUTIVA</t>
        </is>
      </c>
      <c r="F184" s="64" t="inlineStr">
        <is>
          <t>FAMILIA</t>
        </is>
      </c>
      <c r="G184" s="65" t="inlineStr">
        <is>
          <t>Felipe Valvassori De Almeida</t>
        </is>
      </c>
      <c r="H184" s="49" t="n"/>
      <c r="I184" s="55" t="n">
        <v>46235</v>
      </c>
      <c r="J184" s="84" t="n">
        <v>149.98</v>
      </c>
      <c r="K184" s="54" t="inlineStr">
        <is>
          <t>ATIVA</t>
        </is>
      </c>
      <c r="L184" s="58" t="n">
        <v>46252</v>
      </c>
    </row>
    <row r="185">
      <c r="A185" s="54" t="n">
        <v>212522538</v>
      </c>
      <c r="B185" s="54" t="inlineStr">
        <is>
          <t>VIVO</t>
        </is>
      </c>
      <c r="C185" s="54" t="n">
        <v>15997262473</v>
      </c>
      <c r="D185" s="54" t="inlineStr">
        <is>
          <t>11</t>
        </is>
      </c>
      <c r="E185" s="54" t="inlineStr">
        <is>
          <t>CONTROLADORIA</t>
        </is>
      </c>
      <c r="F185" s="49" t="inlineStr">
        <is>
          <t>010621994</t>
        </is>
      </c>
      <c r="G185" s="54" t="inlineStr">
        <is>
          <t>FERNANDA APARECIDA OLIVEIRA DE MORAES</t>
        </is>
      </c>
      <c r="H185" s="49" t="inlineStr">
        <is>
          <t>33802721837</t>
        </is>
      </c>
      <c r="I185" s="55" t="n">
        <v>46235</v>
      </c>
      <c r="J185" s="84" t="n">
        <v>39.59</v>
      </c>
      <c r="K185" s="57" t="inlineStr">
        <is>
          <t>ATIVA</t>
        </is>
      </c>
      <c r="L185" s="58" t="n">
        <v>46252</v>
      </c>
    </row>
    <row r="186">
      <c r="A186" s="54" t="inlineStr">
        <is>
          <t>71768171</t>
        </is>
      </c>
      <c r="B186" s="54" t="inlineStr">
        <is>
          <t>TIM</t>
        </is>
      </c>
      <c r="C186" s="54" t="inlineStr">
        <is>
          <t>15981750023</t>
        </is>
      </c>
      <c r="D186" s="54" t="inlineStr">
        <is>
          <t>13</t>
        </is>
      </c>
      <c r="E186" s="54" t="inlineStr">
        <is>
          <t>DIRETORIA E AUDITORIA</t>
        </is>
      </c>
      <c r="F186" s="49" t="inlineStr">
        <is>
          <t>EM ESTOQUE</t>
        </is>
      </c>
      <c r="G186" s="54" t="inlineStr">
        <is>
          <t>EM ESTOQUE</t>
        </is>
      </c>
      <c r="H186" s="49" t="n"/>
      <c r="I186" s="55" t="n">
        <v>46235</v>
      </c>
      <c r="J186" s="84" t="n">
        <v>40.37</v>
      </c>
      <c r="K186" s="54" t="inlineStr">
        <is>
          <t>ESTOQUE</t>
        </is>
      </c>
      <c r="L186" s="58" t="n">
        <v>46252</v>
      </c>
    </row>
    <row r="187">
      <c r="A187" s="54" t="inlineStr">
        <is>
          <t>71768171</t>
        </is>
      </c>
      <c r="B187" s="54" t="inlineStr">
        <is>
          <t>TIM</t>
        </is>
      </c>
      <c r="C187" s="54" t="inlineStr">
        <is>
          <t>15981471527</t>
        </is>
      </c>
      <c r="D187" s="54" t="inlineStr">
        <is>
          <t>13</t>
        </is>
      </c>
      <c r="E187" s="54" t="inlineStr">
        <is>
          <t>DIRETORIA E AUDITORIA</t>
        </is>
      </c>
      <c r="F187" s="49" t="inlineStr">
        <is>
          <t>EM ESTOQUE</t>
        </is>
      </c>
      <c r="G187" s="54" t="inlineStr">
        <is>
          <t>EM ESTOQUE</t>
        </is>
      </c>
      <c r="H187" s="49" t="n"/>
      <c r="I187" s="55" t="n">
        <v>46235</v>
      </c>
      <c r="J187" s="84" t="n">
        <v>32</v>
      </c>
      <c r="K187" s="54" t="inlineStr">
        <is>
          <t>ESTOQUE</t>
        </is>
      </c>
      <c r="L187" s="58" t="n">
        <v>46252</v>
      </c>
    </row>
    <row r="188">
      <c r="A188" s="54" t="inlineStr">
        <is>
          <t>71768171</t>
        </is>
      </c>
      <c r="B188" s="54" t="inlineStr">
        <is>
          <t>TIM</t>
        </is>
      </c>
      <c r="C188" s="54" t="inlineStr">
        <is>
          <t>15981471586</t>
        </is>
      </c>
      <c r="D188" s="54" t="inlineStr">
        <is>
          <t>13</t>
        </is>
      </c>
      <c r="E188" s="54" t="inlineStr">
        <is>
          <t>DIRETORIA E AUDITORIA</t>
        </is>
      </c>
      <c r="F188" s="49" t="inlineStr">
        <is>
          <t>EM ESTOQUE</t>
        </is>
      </c>
      <c r="G188" s="54" t="inlineStr">
        <is>
          <t>EM ESTOQUE</t>
        </is>
      </c>
      <c r="H188" s="49" t="n"/>
      <c r="I188" s="55" t="n">
        <v>46235</v>
      </c>
      <c r="J188" s="84" t="n">
        <v>32</v>
      </c>
      <c r="K188" s="54" t="inlineStr">
        <is>
          <t>ESTOQUE</t>
        </is>
      </c>
      <c r="L188" s="58" t="n">
        <v>46252</v>
      </c>
    </row>
    <row r="189">
      <c r="A189" s="54" t="inlineStr">
        <is>
          <t>71768171</t>
        </is>
      </c>
      <c r="B189" s="54" t="inlineStr">
        <is>
          <t>TIM</t>
        </is>
      </c>
      <c r="C189" s="54" t="inlineStr">
        <is>
          <t>15981740808</t>
        </is>
      </c>
      <c r="D189" s="54" t="inlineStr">
        <is>
          <t>13</t>
        </is>
      </c>
      <c r="E189" s="54" t="inlineStr">
        <is>
          <t>DIRETORIA E AUDITORIA</t>
        </is>
      </c>
      <c r="F189" s="49" t="inlineStr">
        <is>
          <t>EM ESTOQUE</t>
        </is>
      </c>
      <c r="G189" s="54" t="inlineStr">
        <is>
          <t>EM ESTOQUE</t>
        </is>
      </c>
      <c r="H189" s="49" t="n"/>
      <c r="I189" s="55" t="n">
        <v>46235</v>
      </c>
      <c r="J189" s="84" t="n">
        <v>40.9</v>
      </c>
      <c r="K189" s="54" t="inlineStr">
        <is>
          <t>ESTOQUE</t>
        </is>
      </c>
      <c r="L189" s="58" t="n">
        <v>46252</v>
      </c>
    </row>
    <row r="190">
      <c r="A190" s="54" t="inlineStr">
        <is>
          <t>71768171</t>
        </is>
      </c>
      <c r="B190" s="54" t="inlineStr">
        <is>
          <t>TIM</t>
        </is>
      </c>
      <c r="C190" s="54" t="inlineStr">
        <is>
          <t>15981910092</t>
        </is>
      </c>
      <c r="D190" s="54" t="inlineStr">
        <is>
          <t>13</t>
        </is>
      </c>
      <c r="E190" s="54" t="inlineStr">
        <is>
          <t>DIRETORIA E AUDITORIA</t>
        </is>
      </c>
      <c r="F190" s="49" t="inlineStr">
        <is>
          <t>EM ESTOQUE</t>
        </is>
      </c>
      <c r="G190" s="54" t="inlineStr">
        <is>
          <t>EM ESTOQUE</t>
        </is>
      </c>
      <c r="H190" s="49" t="n"/>
      <c r="I190" s="55" t="n">
        <v>46235</v>
      </c>
      <c r="J190" s="84" t="n">
        <v>36.5</v>
      </c>
      <c r="K190" s="54" t="inlineStr">
        <is>
          <t>ESTOQUE</t>
        </is>
      </c>
      <c r="L190" s="58" t="n">
        <v>46252</v>
      </c>
    </row>
    <row r="191">
      <c r="A191" s="54" t="inlineStr">
        <is>
          <t>71768171</t>
        </is>
      </c>
      <c r="B191" s="54" t="inlineStr">
        <is>
          <t>TIM</t>
        </is>
      </c>
      <c r="C191" s="54" t="inlineStr">
        <is>
          <t>16982220089</t>
        </is>
      </c>
      <c r="D191" s="54" t="inlineStr">
        <is>
          <t>13</t>
        </is>
      </c>
      <c r="E191" s="54" t="inlineStr">
        <is>
          <t>DIRETORIA E AUDITORIA</t>
        </is>
      </c>
      <c r="F191" s="49" t="inlineStr">
        <is>
          <t>EM ESTOQUE</t>
        </is>
      </c>
      <c r="G191" s="49" t="inlineStr">
        <is>
          <t>EM ESTOQUE</t>
        </is>
      </c>
      <c r="H191" s="49" t="n"/>
      <c r="I191" s="55" t="n">
        <v>46235</v>
      </c>
      <c r="J191" s="84" t="n">
        <v>41.27</v>
      </c>
      <c r="K191" s="54" t="inlineStr">
        <is>
          <t>ESTOQUE</t>
        </is>
      </c>
      <c r="L191" s="58" t="n">
        <v>46252</v>
      </c>
    </row>
    <row r="192">
      <c r="A192" s="54" t="inlineStr">
        <is>
          <t>71768171</t>
        </is>
      </c>
      <c r="B192" s="54" t="inlineStr">
        <is>
          <t>TIM</t>
        </is>
      </c>
      <c r="C192" s="59" t="inlineStr">
        <is>
          <t>15981470154</t>
        </is>
      </c>
      <c r="D192" s="54" t="inlineStr">
        <is>
          <t>13</t>
        </is>
      </c>
      <c r="E192" s="54" t="inlineStr">
        <is>
          <t>DIRETORIA E AUDITORIA</t>
        </is>
      </c>
      <c r="F192" s="49" t="inlineStr">
        <is>
          <t>EM ESTOQUE</t>
        </is>
      </c>
      <c r="G192" s="49" t="inlineStr">
        <is>
          <t>EM ESTOQUE</t>
        </is>
      </c>
      <c r="H192" s="49" t="n"/>
      <c r="I192" s="55" t="n">
        <v>46235</v>
      </c>
      <c r="J192" s="84" t="n">
        <v>38.09</v>
      </c>
      <c r="K192" s="54" t="inlineStr">
        <is>
          <t>ESTOQUE</t>
        </is>
      </c>
      <c r="L192" s="58" t="n">
        <v>46252</v>
      </c>
    </row>
    <row r="193">
      <c r="A193" s="54" t="inlineStr">
        <is>
          <t>71768171</t>
        </is>
      </c>
      <c r="B193" s="54" t="inlineStr">
        <is>
          <t>TIM</t>
        </is>
      </c>
      <c r="C193" s="54" t="inlineStr">
        <is>
          <t>15981632368</t>
        </is>
      </c>
      <c r="D193" s="54" t="inlineStr">
        <is>
          <t>13</t>
        </is>
      </c>
      <c r="E193" s="54" t="inlineStr">
        <is>
          <t>DIRETORIA E AUDITORIA</t>
        </is>
      </c>
      <c r="F193" s="49" t="inlineStr">
        <is>
          <t>EM ESTOQUE</t>
        </is>
      </c>
      <c r="G193" s="49" t="inlineStr">
        <is>
          <t>EM ESTOQUE</t>
        </is>
      </c>
      <c r="H193" s="49" t="n"/>
      <c r="I193" s="55" t="n">
        <v>46235</v>
      </c>
      <c r="J193" s="84" t="n">
        <v>39.24</v>
      </c>
      <c r="K193" s="54" t="inlineStr">
        <is>
          <t>ESTOQUE</t>
        </is>
      </c>
      <c r="L193" s="58" t="n">
        <v>46252</v>
      </c>
    </row>
    <row r="194">
      <c r="A194" s="54" t="inlineStr">
        <is>
          <t>71768171</t>
        </is>
      </c>
      <c r="B194" s="54" t="inlineStr">
        <is>
          <t>TIM</t>
        </is>
      </c>
      <c r="C194" s="54" t="inlineStr">
        <is>
          <t>15981910045</t>
        </is>
      </c>
      <c r="D194" s="54" t="inlineStr">
        <is>
          <t>13</t>
        </is>
      </c>
      <c r="E194" s="54" t="inlineStr">
        <is>
          <t>DIRETORIA E AUDITORIA</t>
        </is>
      </c>
      <c r="F194" s="49" t="inlineStr">
        <is>
          <t>EM ESTOQUE</t>
        </is>
      </c>
      <c r="G194" s="49" t="inlineStr">
        <is>
          <t>EM ESTOQUE</t>
        </is>
      </c>
      <c r="H194" s="49" t="n"/>
      <c r="I194" s="55" t="n">
        <v>46235</v>
      </c>
      <c r="J194" s="84" t="n">
        <v>36.5</v>
      </c>
      <c r="K194" s="54" t="inlineStr">
        <is>
          <t>ESTOQUE</t>
        </is>
      </c>
      <c r="L194" s="58" t="n">
        <v>46252</v>
      </c>
    </row>
    <row r="195">
      <c r="A195" s="54" t="inlineStr">
        <is>
          <t>71768171</t>
        </is>
      </c>
      <c r="B195" s="54" t="inlineStr">
        <is>
          <t>TIM</t>
        </is>
      </c>
      <c r="C195" s="54" t="inlineStr">
        <is>
          <t>16982220075</t>
        </is>
      </c>
      <c r="D195" s="54" t="inlineStr">
        <is>
          <t>13</t>
        </is>
      </c>
      <c r="E195" s="54" t="inlineStr">
        <is>
          <t>DIRETORIA E AUDITORIA</t>
        </is>
      </c>
      <c r="F195" s="49" t="inlineStr">
        <is>
          <t>EM ESTOQUE</t>
        </is>
      </c>
      <c r="G195" s="49" t="inlineStr">
        <is>
          <t>EM ESTOQUE</t>
        </is>
      </c>
      <c r="H195" s="49" t="n"/>
      <c r="I195" s="55" t="n">
        <v>46235</v>
      </c>
      <c r="J195" s="84" t="n">
        <v>41.27</v>
      </c>
      <c r="K195" s="54" t="inlineStr">
        <is>
          <t>ESTOQUE</t>
        </is>
      </c>
      <c r="L195" s="58" t="n">
        <v>46252</v>
      </c>
    </row>
    <row r="196">
      <c r="A196" s="54" t="inlineStr">
        <is>
          <t>71768171</t>
        </is>
      </c>
      <c r="B196" s="54" t="inlineStr">
        <is>
          <t>TIM</t>
        </is>
      </c>
      <c r="C196" s="54" t="inlineStr">
        <is>
          <t>15981271669</t>
        </is>
      </c>
      <c r="D196" s="54" t="inlineStr">
        <is>
          <t>13</t>
        </is>
      </c>
      <c r="E196" s="54" t="inlineStr">
        <is>
          <t>DIRETORIA E AUDITORIA</t>
        </is>
      </c>
      <c r="F196" s="49" t="inlineStr">
        <is>
          <t>EM ESTOQUE</t>
        </is>
      </c>
      <c r="G196" s="49" t="inlineStr">
        <is>
          <t>EM ESTOQUE</t>
        </is>
      </c>
      <c r="H196" s="49" t="n"/>
      <c r="I196" s="55" t="n">
        <v>46235</v>
      </c>
      <c r="J196" s="84" t="n">
        <v>39.24</v>
      </c>
      <c r="K196" s="54" t="inlineStr">
        <is>
          <t>ESTOQUE</t>
        </is>
      </c>
      <c r="L196" s="58" t="n">
        <v>46252</v>
      </c>
    </row>
    <row r="197">
      <c r="A197" s="54" t="inlineStr">
        <is>
          <t>71768171</t>
        </is>
      </c>
      <c r="B197" s="54" t="inlineStr">
        <is>
          <t>TIM</t>
        </is>
      </c>
      <c r="C197" s="54" t="inlineStr">
        <is>
          <t>15981303940</t>
        </is>
      </c>
      <c r="D197" s="54" t="inlineStr">
        <is>
          <t>13</t>
        </is>
      </c>
      <c r="E197" s="54" t="inlineStr">
        <is>
          <t>DIRETORIA E AUDITORIA</t>
        </is>
      </c>
      <c r="F197" s="49" t="inlineStr">
        <is>
          <t>EM ESTOQUE</t>
        </is>
      </c>
      <c r="G197" s="49" t="inlineStr">
        <is>
          <t>EM ESTOQUE</t>
        </is>
      </c>
      <c r="H197" s="49" t="n"/>
      <c r="I197" s="55" t="n">
        <v>46235</v>
      </c>
      <c r="J197" s="84" t="n">
        <v>35</v>
      </c>
      <c r="K197" s="54" t="inlineStr">
        <is>
          <t>ESTOQUE</t>
        </is>
      </c>
      <c r="L197" s="58" t="n">
        <v>46252</v>
      </c>
    </row>
    <row r="198">
      <c r="A198" s="54" t="inlineStr">
        <is>
          <t>71768171</t>
        </is>
      </c>
      <c r="B198" s="54" t="inlineStr">
        <is>
          <t>TIM</t>
        </is>
      </c>
      <c r="C198" s="54" t="inlineStr">
        <is>
          <t>15981531394</t>
        </is>
      </c>
      <c r="D198" s="54" t="inlineStr">
        <is>
          <t>13</t>
        </is>
      </c>
      <c r="E198" s="54" t="inlineStr">
        <is>
          <t>DIRETORIA E AUDITORIA</t>
        </is>
      </c>
      <c r="F198" s="49" t="inlineStr">
        <is>
          <t>EM ESTOQUE</t>
        </is>
      </c>
      <c r="G198" s="49" t="inlineStr">
        <is>
          <t>EM ESTOQUE</t>
        </is>
      </c>
      <c r="H198" s="49" t="n"/>
      <c r="I198" s="55" t="n">
        <v>46235</v>
      </c>
      <c r="J198" s="84" t="n">
        <v>39.81</v>
      </c>
      <c r="K198" s="54" t="inlineStr">
        <is>
          <t>ESTOQUE</t>
        </is>
      </c>
      <c r="L198" s="58" t="n">
        <v>46252</v>
      </c>
    </row>
    <row r="199">
      <c r="A199" s="54" t="inlineStr">
        <is>
          <t>71768171</t>
        </is>
      </c>
      <c r="B199" s="54" t="inlineStr">
        <is>
          <t>TIM</t>
        </is>
      </c>
      <c r="C199" s="54" t="inlineStr">
        <is>
          <t>15981820220</t>
        </is>
      </c>
      <c r="D199" s="54" t="inlineStr">
        <is>
          <t>13</t>
        </is>
      </c>
      <c r="E199" s="54" t="inlineStr">
        <is>
          <t>DIRETORIA E AUDITORIA</t>
        </is>
      </c>
      <c r="F199" s="49" t="inlineStr">
        <is>
          <t>EM ESTOQUE</t>
        </is>
      </c>
      <c r="G199" s="49" t="inlineStr">
        <is>
          <t>EM ESTOQUE</t>
        </is>
      </c>
      <c r="H199" s="49" t="n"/>
      <c r="I199" s="55" t="n">
        <v>46235</v>
      </c>
      <c r="J199" s="84" t="n">
        <v>35</v>
      </c>
      <c r="K199" s="54" t="inlineStr">
        <is>
          <t>ESTOQUE</t>
        </is>
      </c>
      <c r="L199" s="58" t="n">
        <v>46252</v>
      </c>
    </row>
    <row r="200">
      <c r="A200" s="54" t="inlineStr">
        <is>
          <t>71768171</t>
        </is>
      </c>
      <c r="B200" s="54" t="inlineStr">
        <is>
          <t>TIM</t>
        </is>
      </c>
      <c r="C200" s="54" t="inlineStr">
        <is>
          <t>15981860069</t>
        </is>
      </c>
      <c r="D200" s="54" t="inlineStr">
        <is>
          <t>13</t>
        </is>
      </c>
      <c r="E200" s="54" t="inlineStr">
        <is>
          <t>DIRETORIA E AUDITORIA</t>
        </is>
      </c>
      <c r="F200" s="49" t="inlineStr">
        <is>
          <t>EM ESTOQUE</t>
        </is>
      </c>
      <c r="G200" s="49" t="inlineStr">
        <is>
          <t>EM ESTOQUE</t>
        </is>
      </c>
      <c r="H200" s="49" t="n"/>
      <c r="I200" s="55" t="n">
        <v>46235</v>
      </c>
      <c r="J200" s="84" t="n">
        <v>35</v>
      </c>
      <c r="K200" s="54" t="inlineStr">
        <is>
          <t>ESTOQUE</t>
        </is>
      </c>
      <c r="L200" s="58" t="n">
        <v>46252</v>
      </c>
    </row>
    <row r="201">
      <c r="A201" s="54" t="inlineStr">
        <is>
          <t>71768171</t>
        </is>
      </c>
      <c r="B201" s="54" t="inlineStr">
        <is>
          <t>TIM</t>
        </is>
      </c>
      <c r="C201" s="54" t="inlineStr">
        <is>
          <t>15981860094</t>
        </is>
      </c>
      <c r="D201" s="54" t="inlineStr">
        <is>
          <t>13</t>
        </is>
      </c>
      <c r="E201" s="54" t="inlineStr">
        <is>
          <t>DIRETORIA E AUDITORIA</t>
        </is>
      </c>
      <c r="F201" s="49" t="inlineStr">
        <is>
          <t>EM ESTOQUE</t>
        </is>
      </c>
      <c r="G201" s="49" t="inlineStr">
        <is>
          <t>EM ESTOQUE</t>
        </is>
      </c>
      <c r="H201" s="49" t="n"/>
      <c r="I201" s="55" t="n">
        <v>46235</v>
      </c>
      <c r="J201" s="84" t="n">
        <v>35</v>
      </c>
      <c r="K201" s="54" t="inlineStr">
        <is>
          <t>ESTOQUE</t>
        </is>
      </c>
      <c r="L201" s="58" t="n">
        <v>46252</v>
      </c>
    </row>
    <row r="202">
      <c r="A202" s="54" t="inlineStr">
        <is>
          <t>71768171</t>
        </is>
      </c>
      <c r="B202" s="54" t="inlineStr">
        <is>
          <t>TIM</t>
        </is>
      </c>
      <c r="C202" s="54" t="inlineStr">
        <is>
          <t>15981860101</t>
        </is>
      </c>
      <c r="D202" s="54" t="inlineStr">
        <is>
          <t>13</t>
        </is>
      </c>
      <c r="E202" s="54" t="inlineStr">
        <is>
          <t>DIRETORIA E AUDITORIA</t>
        </is>
      </c>
      <c r="F202" s="49" t="inlineStr">
        <is>
          <t>EM ESTOQUE</t>
        </is>
      </c>
      <c r="G202" s="49" t="inlineStr">
        <is>
          <t>EM ESTOQUE</t>
        </is>
      </c>
      <c r="H202" s="49" t="n"/>
      <c r="I202" s="55" t="n">
        <v>46235</v>
      </c>
      <c r="J202" s="84" t="n">
        <v>35</v>
      </c>
      <c r="K202" s="54" t="inlineStr">
        <is>
          <t>ESTOQUE</t>
        </is>
      </c>
      <c r="L202" s="58" t="n">
        <v>46252</v>
      </c>
    </row>
    <row r="203">
      <c r="A203" s="54" t="inlineStr">
        <is>
          <t>71768171</t>
        </is>
      </c>
      <c r="B203" s="54" t="inlineStr">
        <is>
          <t>TIM</t>
        </is>
      </c>
      <c r="C203" s="54" t="inlineStr">
        <is>
          <t>15981860103</t>
        </is>
      </c>
      <c r="D203" s="54" t="inlineStr">
        <is>
          <t>13</t>
        </is>
      </c>
      <c r="E203" s="54" t="inlineStr">
        <is>
          <t>DIRETORIA E AUDITORIA</t>
        </is>
      </c>
      <c r="F203" s="49" t="inlineStr">
        <is>
          <t>EM ESTOQUE</t>
        </is>
      </c>
      <c r="G203" s="49" t="inlineStr">
        <is>
          <t>EM ESTOQUE</t>
        </is>
      </c>
      <c r="H203" s="49" t="n"/>
      <c r="I203" s="55" t="n">
        <v>46235</v>
      </c>
      <c r="J203" s="84" t="n">
        <v>35</v>
      </c>
      <c r="K203" s="54" t="inlineStr">
        <is>
          <t>ESTOQUE</t>
        </is>
      </c>
      <c r="L203" s="58" t="n">
        <v>46252</v>
      </c>
    </row>
    <row r="204">
      <c r="A204" s="54" t="inlineStr">
        <is>
          <t>71768171</t>
        </is>
      </c>
      <c r="B204" s="54" t="inlineStr">
        <is>
          <t>TIM</t>
        </is>
      </c>
      <c r="C204" s="54" t="inlineStr">
        <is>
          <t>15981860113</t>
        </is>
      </c>
      <c r="D204" s="54" t="inlineStr">
        <is>
          <t>13</t>
        </is>
      </c>
      <c r="E204" s="54" t="inlineStr">
        <is>
          <t>DIRETORIA E AUDITORIA</t>
        </is>
      </c>
      <c r="F204" s="49" t="inlineStr">
        <is>
          <t>EM ESTOQUE</t>
        </is>
      </c>
      <c r="G204" s="49" t="inlineStr">
        <is>
          <t>EM ESTOQUE</t>
        </is>
      </c>
      <c r="H204" s="49" t="n"/>
      <c r="I204" s="55" t="n">
        <v>46235</v>
      </c>
      <c r="J204" s="84" t="n">
        <v>35</v>
      </c>
      <c r="K204" s="54" t="inlineStr">
        <is>
          <t>ESTOQUE</t>
        </is>
      </c>
      <c r="L204" s="58" t="n">
        <v>46252</v>
      </c>
    </row>
    <row r="205">
      <c r="A205" s="54" t="inlineStr">
        <is>
          <t>71768171</t>
        </is>
      </c>
      <c r="B205" s="54" t="inlineStr">
        <is>
          <t>TIM</t>
        </is>
      </c>
      <c r="C205" s="54" t="inlineStr">
        <is>
          <t>15981860121</t>
        </is>
      </c>
      <c r="D205" s="54" t="inlineStr">
        <is>
          <t>13</t>
        </is>
      </c>
      <c r="E205" s="54" t="inlineStr">
        <is>
          <t>DIRETORIA E AUDITORIA</t>
        </is>
      </c>
      <c r="F205" s="49" t="inlineStr">
        <is>
          <t>EM ESTOQUE</t>
        </is>
      </c>
      <c r="G205" s="49" t="inlineStr">
        <is>
          <t>EM ESTOQUE</t>
        </is>
      </c>
      <c r="H205" s="49" t="n"/>
      <c r="I205" s="55" t="n">
        <v>46235</v>
      </c>
      <c r="J205" s="84" t="n">
        <v>35</v>
      </c>
      <c r="K205" s="54" t="inlineStr">
        <is>
          <t>ESTOQUE</t>
        </is>
      </c>
      <c r="L205" s="58" t="n">
        <v>46252</v>
      </c>
    </row>
    <row r="206">
      <c r="A206" s="54" t="inlineStr">
        <is>
          <t>71768171</t>
        </is>
      </c>
      <c r="B206" s="54" t="inlineStr">
        <is>
          <t>TIM</t>
        </is>
      </c>
      <c r="C206" s="54" t="inlineStr">
        <is>
          <t>15981860125</t>
        </is>
      </c>
      <c r="D206" s="54" t="inlineStr">
        <is>
          <t>13</t>
        </is>
      </c>
      <c r="E206" s="54" t="inlineStr">
        <is>
          <t>DIRETORIA E AUDITORIA</t>
        </is>
      </c>
      <c r="F206" s="49" t="inlineStr">
        <is>
          <t>EM ESTOQUE</t>
        </is>
      </c>
      <c r="G206" s="49" t="inlineStr">
        <is>
          <t>EM ESTOQUE</t>
        </is>
      </c>
      <c r="H206" s="49" t="n"/>
      <c r="I206" s="55" t="n">
        <v>46235</v>
      </c>
      <c r="J206" s="84" t="n">
        <v>35</v>
      </c>
      <c r="K206" s="54" t="inlineStr">
        <is>
          <t>ESTOQUE</t>
        </is>
      </c>
      <c r="L206" s="58" t="n">
        <v>46252</v>
      </c>
    </row>
    <row r="207">
      <c r="A207" s="54" t="inlineStr">
        <is>
          <t>71768171</t>
        </is>
      </c>
      <c r="B207" s="54" t="inlineStr">
        <is>
          <t>TIM</t>
        </is>
      </c>
      <c r="C207" s="54" t="inlineStr">
        <is>
          <t>15981860128</t>
        </is>
      </c>
      <c r="D207" s="54" t="inlineStr">
        <is>
          <t>13</t>
        </is>
      </c>
      <c r="E207" s="54" t="inlineStr">
        <is>
          <t>DIRETORIA E AUDITORIA</t>
        </is>
      </c>
      <c r="F207" s="49" t="inlineStr">
        <is>
          <t>EM ESTOQUE</t>
        </is>
      </c>
      <c r="G207" s="49" t="inlineStr">
        <is>
          <t>EM ESTOQUE</t>
        </is>
      </c>
      <c r="H207" s="49" t="n"/>
      <c r="I207" s="55" t="n">
        <v>46235</v>
      </c>
      <c r="J207" s="84" t="n">
        <v>35</v>
      </c>
      <c r="K207" s="54" t="inlineStr">
        <is>
          <t>ESTOQUE</t>
        </is>
      </c>
      <c r="L207" s="58" t="n">
        <v>46252</v>
      </c>
    </row>
    <row r="208">
      <c r="A208" s="54" t="inlineStr">
        <is>
          <t>71768171</t>
        </is>
      </c>
      <c r="B208" s="54" t="inlineStr">
        <is>
          <t>TIM</t>
        </is>
      </c>
      <c r="C208" s="54" t="inlineStr">
        <is>
          <t>15981860130</t>
        </is>
      </c>
      <c r="D208" s="54" t="inlineStr">
        <is>
          <t>13</t>
        </is>
      </c>
      <c r="E208" s="54" t="inlineStr">
        <is>
          <t>DIRETORIA E AUDITORIA</t>
        </is>
      </c>
      <c r="F208" s="49" t="inlineStr">
        <is>
          <t>EM ESTOQUE</t>
        </is>
      </c>
      <c r="G208" s="49" t="inlineStr">
        <is>
          <t>EM ESTOQUE</t>
        </is>
      </c>
      <c r="H208" s="49" t="n"/>
      <c r="I208" s="55" t="n">
        <v>46235</v>
      </c>
      <c r="J208" s="84" t="n">
        <v>35</v>
      </c>
      <c r="K208" s="54" t="inlineStr">
        <is>
          <t>ESTOQUE</t>
        </is>
      </c>
      <c r="L208" s="58" t="n">
        <v>46252</v>
      </c>
    </row>
    <row r="209">
      <c r="A209" s="54" t="inlineStr">
        <is>
          <t>71768171</t>
        </is>
      </c>
      <c r="B209" s="54" t="inlineStr">
        <is>
          <t>TIM</t>
        </is>
      </c>
      <c r="C209" s="49" t="inlineStr">
        <is>
          <t>15981910171</t>
        </is>
      </c>
      <c r="D209" s="54" t="inlineStr">
        <is>
          <t>13</t>
        </is>
      </c>
      <c r="E209" s="54" t="inlineStr">
        <is>
          <t>DIRETORIA E AUDITORIA</t>
        </is>
      </c>
      <c r="F209" s="49" t="inlineStr">
        <is>
          <t>EM ESTOQUE</t>
        </is>
      </c>
      <c r="G209" s="49" t="inlineStr">
        <is>
          <t>EM ESTOQUE</t>
        </is>
      </c>
      <c r="H209" s="49" t="n"/>
      <c r="I209" s="55" t="n">
        <v>46235</v>
      </c>
      <c r="J209" s="84" t="n">
        <v>32</v>
      </c>
      <c r="K209" s="54" t="inlineStr">
        <is>
          <t>ESTOQUE</t>
        </is>
      </c>
      <c r="L209" s="58" t="n">
        <v>46252</v>
      </c>
    </row>
    <row r="210">
      <c r="A210" s="54" t="inlineStr">
        <is>
          <t>71768171</t>
        </is>
      </c>
      <c r="B210" s="54" t="inlineStr">
        <is>
          <t>TIM</t>
        </is>
      </c>
      <c r="C210" s="54" t="inlineStr">
        <is>
          <t>15981910186</t>
        </is>
      </c>
      <c r="D210" s="54" t="inlineStr">
        <is>
          <t>13</t>
        </is>
      </c>
      <c r="E210" s="54" t="inlineStr">
        <is>
          <t>DIRETORIA E AUDITORIA</t>
        </is>
      </c>
      <c r="F210" s="49" t="inlineStr">
        <is>
          <t>EM ESTOQUE</t>
        </is>
      </c>
      <c r="G210" s="49" t="inlineStr">
        <is>
          <t>EM ESTOQUE</t>
        </is>
      </c>
      <c r="H210" s="49" t="n"/>
      <c r="I210" s="55" t="n">
        <v>46235</v>
      </c>
      <c r="J210" s="84" t="n">
        <v>32</v>
      </c>
      <c r="K210" s="54" t="inlineStr">
        <is>
          <t>ESTOQUE</t>
        </is>
      </c>
      <c r="L210" s="58" t="n">
        <v>46252</v>
      </c>
    </row>
    <row r="211">
      <c r="A211" s="54" t="inlineStr">
        <is>
          <t>71768171</t>
        </is>
      </c>
      <c r="B211" s="54" t="inlineStr">
        <is>
          <t>TIM</t>
        </is>
      </c>
      <c r="C211" s="54" t="inlineStr">
        <is>
          <t>15981267534</t>
        </is>
      </c>
      <c r="D211" s="54" t="inlineStr">
        <is>
          <t>13</t>
        </is>
      </c>
      <c r="E211" s="54" t="inlineStr">
        <is>
          <t>DIRETORIA E AUDITORIA</t>
        </is>
      </c>
      <c r="F211" s="49" t="inlineStr">
        <is>
          <t>EM ESTOQUE</t>
        </is>
      </c>
      <c r="G211" s="49" t="inlineStr">
        <is>
          <t>EM ESTOQUE</t>
        </is>
      </c>
      <c r="H211" s="49" t="n"/>
      <c r="I211" s="55" t="n">
        <v>46235</v>
      </c>
      <c r="J211" s="84" t="n">
        <v>32</v>
      </c>
      <c r="K211" s="54" t="inlineStr">
        <is>
          <t>ESTOQUE</t>
        </is>
      </c>
      <c r="L211" s="58" t="n">
        <v>46252</v>
      </c>
    </row>
    <row r="212">
      <c r="A212" s="54" t="inlineStr">
        <is>
          <t>71768171</t>
        </is>
      </c>
      <c r="B212" s="54" t="inlineStr">
        <is>
          <t>TIM</t>
        </is>
      </c>
      <c r="C212" s="54" t="inlineStr">
        <is>
          <t>15981472390</t>
        </is>
      </c>
      <c r="D212" s="54" t="inlineStr">
        <is>
          <t>13</t>
        </is>
      </c>
      <c r="E212" s="54" t="inlineStr">
        <is>
          <t>DIRETORIA E AUDITORIA</t>
        </is>
      </c>
      <c r="F212" s="49" t="inlineStr">
        <is>
          <t>EM ESTOQUE</t>
        </is>
      </c>
      <c r="G212" s="49" t="inlineStr">
        <is>
          <t>EM ESTOQUE</t>
        </is>
      </c>
      <c r="H212" s="49" t="n"/>
      <c r="I212" s="55" t="n">
        <v>46235</v>
      </c>
      <c r="J212" s="84" t="n">
        <v>32</v>
      </c>
      <c r="K212" s="54" t="inlineStr">
        <is>
          <t>ESTOQUE</t>
        </is>
      </c>
      <c r="L212" s="58" t="n">
        <v>46252</v>
      </c>
    </row>
    <row r="213">
      <c r="A213" s="54" t="inlineStr">
        <is>
          <t>71768171</t>
        </is>
      </c>
      <c r="B213" s="54" t="inlineStr">
        <is>
          <t>TIM</t>
        </is>
      </c>
      <c r="C213" s="54" t="inlineStr">
        <is>
          <t>15981580163</t>
        </is>
      </c>
      <c r="D213" s="54" t="inlineStr">
        <is>
          <t>13</t>
        </is>
      </c>
      <c r="E213" s="54" t="inlineStr">
        <is>
          <t>DIRETORIA E AUDITORIA</t>
        </is>
      </c>
      <c r="F213" s="49" t="inlineStr">
        <is>
          <t>EM ESTOQUE</t>
        </is>
      </c>
      <c r="G213" s="49" t="inlineStr">
        <is>
          <t>EM ESTOQUE</t>
        </is>
      </c>
      <c r="H213" s="49" t="n"/>
      <c r="I213" s="55" t="n">
        <v>46235</v>
      </c>
      <c r="J213" s="84" t="n">
        <v>39.34</v>
      </c>
      <c r="K213" s="54" t="inlineStr">
        <is>
          <t>ESTOQUE</t>
        </is>
      </c>
      <c r="L213" s="58" t="n">
        <v>46252</v>
      </c>
    </row>
    <row r="214">
      <c r="A214" s="54" t="inlineStr">
        <is>
          <t>71768171</t>
        </is>
      </c>
      <c r="B214" s="54" t="inlineStr">
        <is>
          <t>TIM</t>
        </is>
      </c>
      <c r="C214" s="54" t="inlineStr">
        <is>
          <t>15981620067</t>
        </is>
      </c>
      <c r="D214" s="54" t="inlineStr">
        <is>
          <t>13</t>
        </is>
      </c>
      <c r="E214" s="54" t="inlineStr">
        <is>
          <t>DIRETORIA E AUDITORIA</t>
        </is>
      </c>
      <c r="F214" s="49" t="inlineStr">
        <is>
          <t>EM ESTOQUE</t>
        </is>
      </c>
      <c r="G214" s="54" t="inlineStr">
        <is>
          <t>EM ESTOQUE</t>
        </is>
      </c>
      <c r="H214" s="49" t="n"/>
      <c r="I214" s="55" t="n">
        <v>46235</v>
      </c>
      <c r="J214" s="84" t="n">
        <v>35</v>
      </c>
      <c r="K214" s="54" t="inlineStr">
        <is>
          <t>ESTOQUE</t>
        </is>
      </c>
      <c r="L214" s="58" t="n">
        <v>46252</v>
      </c>
    </row>
    <row r="215">
      <c r="A215" s="54" t="inlineStr">
        <is>
          <t>71768171</t>
        </is>
      </c>
      <c r="B215" s="54" t="inlineStr">
        <is>
          <t>TIM</t>
        </is>
      </c>
      <c r="C215" s="54" t="inlineStr">
        <is>
          <t>15981580173</t>
        </is>
      </c>
      <c r="D215" s="54" t="inlineStr">
        <is>
          <t>13</t>
        </is>
      </c>
      <c r="E215" s="54" t="inlineStr">
        <is>
          <t>DIRETORIA E AUDITORIA</t>
        </is>
      </c>
      <c r="F215" s="49" t="inlineStr">
        <is>
          <t>EM ESTOQUE</t>
        </is>
      </c>
      <c r="G215" s="54" t="inlineStr">
        <is>
          <t>EM ESTOQUE</t>
        </is>
      </c>
      <c r="H215" s="49" t="n"/>
      <c r="I215" s="55" t="n">
        <v>46235</v>
      </c>
      <c r="J215" s="84" t="n">
        <v>38.2</v>
      </c>
      <c r="K215" s="54" t="inlineStr">
        <is>
          <t>ESTOQUE</t>
        </is>
      </c>
      <c r="L215" s="58" t="n">
        <v>46252</v>
      </c>
    </row>
    <row r="216">
      <c r="A216" s="54" t="inlineStr">
        <is>
          <t>71768171</t>
        </is>
      </c>
      <c r="B216" s="54" t="inlineStr">
        <is>
          <t>TIM</t>
        </is>
      </c>
      <c r="C216" s="54" t="inlineStr">
        <is>
          <t>15981820457</t>
        </is>
      </c>
      <c r="D216" s="54" t="inlineStr">
        <is>
          <t>10</t>
        </is>
      </c>
      <c r="E216" s="54" t="inlineStr">
        <is>
          <t>RECURSOS HUMANOS</t>
        </is>
      </c>
      <c r="F216" s="49" t="n"/>
      <c r="G216" s="54" t="inlineStr">
        <is>
          <t>Em Estoque Com Rh</t>
        </is>
      </c>
      <c r="H216" s="49" t="n"/>
      <c r="I216" s="55" t="n">
        <v>46235</v>
      </c>
      <c r="J216" s="84" t="n">
        <v>35</v>
      </c>
      <c r="K216" s="54" t="inlineStr">
        <is>
          <t>VERIFICAR</t>
        </is>
      </c>
      <c r="L216" s="58" t="n">
        <v>46252</v>
      </c>
    </row>
    <row r="217">
      <c r="A217" s="54" t="inlineStr">
        <is>
          <t>71768171</t>
        </is>
      </c>
      <c r="B217" s="54" t="inlineStr">
        <is>
          <t>TIM</t>
        </is>
      </c>
      <c r="C217" s="54" t="inlineStr">
        <is>
          <t>15981632364</t>
        </is>
      </c>
      <c r="D217" s="54" t="inlineStr">
        <is>
          <t>51201</t>
        </is>
      </c>
      <c r="E217" s="54" t="inlineStr">
        <is>
          <t>C12 - KLABIN IBAITI</t>
        </is>
      </c>
      <c r="F217" s="49" t="n"/>
      <c r="G217" s="54" t="inlineStr">
        <is>
          <t>Emerson Rosa Martins</t>
        </is>
      </c>
      <c r="H217" s="49" t="n"/>
      <c r="I217" s="55" t="n">
        <v>46235</v>
      </c>
      <c r="J217" s="84" t="n">
        <v>39.24</v>
      </c>
      <c r="K217" s="54" t="inlineStr">
        <is>
          <t>VERIFICAR</t>
        </is>
      </c>
      <c r="L217" s="58" t="n">
        <v>46252</v>
      </c>
    </row>
    <row r="218">
      <c r="A218" s="54" t="n">
        <v>212522538</v>
      </c>
      <c r="B218" s="54" t="inlineStr">
        <is>
          <t>VIVO</t>
        </is>
      </c>
      <c r="C218" s="54" t="n">
        <v>15997722035</v>
      </c>
      <c r="D218" s="54" t="n">
        <v>2122</v>
      </c>
      <c r="E218" s="54" t="inlineStr">
        <is>
          <t>SSMA TRES LAGOAS</t>
        </is>
      </c>
      <c r="F218" s="49" t="inlineStr">
        <is>
          <t>FROTA</t>
        </is>
      </c>
      <c r="G218" s="68" t="inlineStr">
        <is>
          <t>FROTA SEM ID</t>
        </is>
      </c>
      <c r="H218" s="49" t="n"/>
      <c r="I218" s="55" t="n">
        <v>46235</v>
      </c>
      <c r="J218" s="84" t="n">
        <v>39.59</v>
      </c>
      <c r="K218" s="68" t="inlineStr">
        <is>
          <t>VERIFICAR</t>
        </is>
      </c>
      <c r="L218" s="58" t="n">
        <v>46252</v>
      </c>
    </row>
    <row r="219">
      <c r="A219" s="54" t="n">
        <v>212522538</v>
      </c>
      <c r="B219" s="54" t="inlineStr">
        <is>
          <t>VIVO</t>
        </is>
      </c>
      <c r="C219" s="54" t="n">
        <v>15996162866</v>
      </c>
      <c r="D219" s="54" t="n">
        <v>42550</v>
      </c>
      <c r="E219" s="68" t="inlineStr">
        <is>
          <t>C02 - SUZANO CBO</t>
        </is>
      </c>
      <c r="F219" s="49" t="inlineStr">
        <is>
          <t>FROTA</t>
        </is>
      </c>
      <c r="G219" s="68" t="inlineStr">
        <is>
          <t>FROTA SEM ID</t>
        </is>
      </c>
      <c r="H219" s="49" t="n"/>
      <c r="I219" s="55" t="n">
        <v>46235</v>
      </c>
      <c r="J219" s="84" t="n">
        <v>39.59</v>
      </c>
      <c r="K219" s="68" t="inlineStr">
        <is>
          <t>VERIFICAR</t>
        </is>
      </c>
      <c r="L219" s="58" t="n">
        <v>46252</v>
      </c>
    </row>
    <row r="220">
      <c r="A220" s="54" t="n">
        <v>212522538</v>
      </c>
      <c r="B220" s="54" t="inlineStr">
        <is>
          <t>VIVO</t>
        </is>
      </c>
      <c r="C220" s="54" t="n">
        <v>67998667281</v>
      </c>
      <c r="D220" s="54" t="inlineStr">
        <is>
          <t>32201</t>
        </is>
      </c>
      <c r="E220" s="54" t="inlineStr">
        <is>
          <t>C01 - SUZANO MANUTENCAO AGUA CLARA</t>
        </is>
      </c>
      <c r="F220" s="49" t="inlineStr">
        <is>
          <t>210106676</t>
        </is>
      </c>
      <c r="G220" s="54" t="inlineStr">
        <is>
          <t>FERNANDA GOMES NERES</t>
        </is>
      </c>
      <c r="H220" s="49" t="inlineStr">
        <is>
          <t>03915992160</t>
        </is>
      </c>
      <c r="I220" s="55" t="n">
        <v>46235</v>
      </c>
      <c r="J220" s="84" t="n">
        <v>54.63</v>
      </c>
      <c r="K220" s="57" t="inlineStr">
        <is>
          <t>ATIVA</t>
        </is>
      </c>
      <c r="L220" s="58" t="n">
        <v>46252</v>
      </c>
    </row>
    <row r="221">
      <c r="A221" s="54" t="n">
        <v>212522538</v>
      </c>
      <c r="B221" s="54" t="inlineStr">
        <is>
          <t>VIVO</t>
        </is>
      </c>
      <c r="C221" s="54" t="n">
        <v>15998404841</v>
      </c>
      <c r="D221" s="54" t="inlineStr">
        <is>
          <t>32201</t>
        </is>
      </c>
      <c r="E221" s="54" t="inlineStr">
        <is>
          <t>C01 - SUZANO MANUTENCAO AGUA CLARA</t>
        </is>
      </c>
      <c r="F221" s="62" t="inlineStr">
        <is>
          <t>210106676</t>
        </is>
      </c>
      <c r="G221" s="54" t="inlineStr">
        <is>
          <t>FERNANDA GOMES NERES</t>
        </is>
      </c>
      <c r="H221" s="49" t="inlineStr">
        <is>
          <t>03915992160</t>
        </is>
      </c>
      <c r="I221" s="55" t="n">
        <v>46235</v>
      </c>
      <c r="J221" s="84" t="n">
        <v>39.59</v>
      </c>
      <c r="K221" s="57" t="inlineStr">
        <is>
          <t>ATIVA</t>
        </is>
      </c>
      <c r="L221" s="58" t="n">
        <v>46252</v>
      </c>
    </row>
    <row r="222">
      <c r="A222" s="54" t="n">
        <v>212522538</v>
      </c>
      <c r="B222" s="54" t="inlineStr">
        <is>
          <t>VIVO</t>
        </is>
      </c>
      <c r="C222" s="54" t="n">
        <v>15996241791</v>
      </c>
      <c r="D222" s="54" t="n">
        <v>42501</v>
      </c>
      <c r="E222" s="54" t="inlineStr">
        <is>
          <t>C02 - BRACELL CBO</t>
        </is>
      </c>
      <c r="F222" s="74" t="inlineStr">
        <is>
          <t>FROTA</t>
        </is>
      </c>
      <c r="G222" s="54" t="inlineStr">
        <is>
          <t>FROTA CBO - VERIFICAR</t>
        </is>
      </c>
      <c r="H222" s="49" t="n"/>
      <c r="I222" s="55" t="n">
        <v>46235</v>
      </c>
      <c r="J222" s="84" t="n">
        <v>39.59</v>
      </c>
      <c r="K222" s="54" t="inlineStr">
        <is>
          <t>VERIFICAR</t>
        </is>
      </c>
      <c r="L222" s="58" t="n">
        <v>46252</v>
      </c>
    </row>
    <row r="223">
      <c r="A223" s="54" t="n">
        <v>212522538</v>
      </c>
      <c r="B223" s="54" t="inlineStr">
        <is>
          <t>VIVO</t>
        </is>
      </c>
      <c r="C223" s="54" t="n">
        <v>15996697575</v>
      </c>
      <c r="D223" s="54" t="n">
        <v>42501</v>
      </c>
      <c r="E223" s="54" t="inlineStr">
        <is>
          <t>C02 - BRACELL CBO</t>
        </is>
      </c>
      <c r="F223" s="74" t="inlineStr">
        <is>
          <t>FROTA</t>
        </is>
      </c>
      <c r="G223" s="54" t="inlineStr">
        <is>
          <t>FROTA CBO - VERIFICAR</t>
        </is>
      </c>
      <c r="H223" s="49" t="n"/>
      <c r="I223" s="55" t="n">
        <v>46235</v>
      </c>
      <c r="J223" s="84" t="n">
        <v>39.59</v>
      </c>
      <c r="K223" s="54" t="inlineStr">
        <is>
          <t>VERIFICAR</t>
        </is>
      </c>
      <c r="L223" s="58" t="n">
        <v>46252</v>
      </c>
    </row>
    <row r="224">
      <c r="A224" s="54" t="n">
        <v>212522538</v>
      </c>
      <c r="B224" s="54" t="inlineStr">
        <is>
          <t>VIVO</t>
        </is>
      </c>
      <c r="C224" s="54" t="n">
        <v>67998148684</v>
      </c>
      <c r="D224" s="54" t="n">
        <v>42501</v>
      </c>
      <c r="E224" s="54" t="inlineStr">
        <is>
          <t>C02 - BRACELL CBO</t>
        </is>
      </c>
      <c r="F224" s="74" t="inlineStr">
        <is>
          <t>FROTA</t>
        </is>
      </c>
      <c r="G224" s="54" t="inlineStr">
        <is>
          <t>FROTA CBO - VERIFICAR</t>
        </is>
      </c>
      <c r="H224" s="49" t="n"/>
      <c r="I224" s="55" t="n">
        <v>46235</v>
      </c>
      <c r="J224" s="84" t="n">
        <v>39.59</v>
      </c>
      <c r="K224" s="54" t="inlineStr">
        <is>
          <t>VERIFICAR</t>
        </is>
      </c>
      <c r="L224" s="58" t="n">
        <v>46252</v>
      </c>
    </row>
    <row r="225">
      <c r="A225" s="54" t="n">
        <v>212522538</v>
      </c>
      <c r="B225" s="54" t="inlineStr">
        <is>
          <t>VIVO</t>
        </is>
      </c>
      <c r="C225" s="59" t="n">
        <v>15996793895</v>
      </c>
      <c r="D225" s="54" t="n">
        <v>42300</v>
      </c>
      <c r="E225" s="54" t="inlineStr">
        <is>
          <t>GESTAO OP CACAPAVA</t>
        </is>
      </c>
      <c r="F225" s="49" t="n"/>
      <c r="G225" s="54" t="inlineStr">
        <is>
          <t>FERNANDO DOS SANTOS</t>
        </is>
      </c>
      <c r="H225" s="49" t="inlineStr">
        <is>
          <t>07121899981</t>
        </is>
      </c>
      <c r="I225" s="55" t="n">
        <v>46235</v>
      </c>
      <c r="J225" s="84" t="n">
        <v>39.59</v>
      </c>
      <c r="K225" s="54" t="inlineStr">
        <is>
          <t>ATIVA</t>
        </is>
      </c>
      <c r="L225" s="58" t="n">
        <v>46252</v>
      </c>
    </row>
    <row r="226">
      <c r="A226" s="54" t="n">
        <v>212522538</v>
      </c>
      <c r="B226" s="54" t="inlineStr">
        <is>
          <t>VIVO</t>
        </is>
      </c>
      <c r="C226" s="54" t="n">
        <v>15998275826</v>
      </c>
      <c r="D226" s="54" t="inlineStr">
        <is>
          <t>41201</t>
        </is>
      </c>
      <c r="E226" s="54" t="inlineStr">
        <is>
          <t>C05 - BRACELL DUARTINA</t>
        </is>
      </c>
      <c r="F226" s="49" t="inlineStr">
        <is>
          <t>010320042</t>
        </is>
      </c>
      <c r="G226" s="54" t="inlineStr">
        <is>
          <t>FERNANDO DOS SANTOS MARINHO</t>
        </is>
      </c>
      <c r="H226" s="49" t="inlineStr">
        <is>
          <t>06060578209</t>
        </is>
      </c>
      <c r="I226" s="55" t="n">
        <v>46235</v>
      </c>
      <c r="J226" s="84" t="n">
        <v>39.59</v>
      </c>
      <c r="K226" s="57" t="inlineStr">
        <is>
          <t>ATIVA</t>
        </is>
      </c>
      <c r="L226" s="58" t="n">
        <v>46252</v>
      </c>
    </row>
    <row r="227">
      <c r="A227" s="54" t="n">
        <v>212522538</v>
      </c>
      <c r="B227" s="54" t="inlineStr">
        <is>
          <t>VIVO</t>
        </is>
      </c>
      <c r="C227" s="54" t="n">
        <v>15996435717</v>
      </c>
      <c r="D227" s="54" t="n">
        <v>41450</v>
      </c>
      <c r="E227" s="54" t="inlineStr">
        <is>
          <t>C03 - EUCATEX DOURADO</t>
        </is>
      </c>
      <c r="F227" s="49" t="inlineStr">
        <is>
          <t>010322517</t>
        </is>
      </c>
      <c r="G227" s="54" t="inlineStr">
        <is>
          <t>FERNANDO LUIZ RODRIGUES DA CUNHA</t>
        </is>
      </c>
      <c r="H227" s="49" t="inlineStr">
        <is>
          <t>46061439830</t>
        </is>
      </c>
      <c r="I227" s="55" t="n">
        <v>46235</v>
      </c>
      <c r="J227" s="84" t="n">
        <v>39.59</v>
      </c>
      <c r="K227" s="57" t="inlineStr">
        <is>
          <t>ATIVA</t>
        </is>
      </c>
      <c r="L227" s="58" t="n">
        <v>46252</v>
      </c>
    </row>
    <row r="228">
      <c r="A228" s="54" t="n">
        <v>212522538</v>
      </c>
      <c r="B228" s="54" t="inlineStr">
        <is>
          <t>VIVO</t>
        </is>
      </c>
      <c r="C228" s="54" t="n">
        <v>15996040426</v>
      </c>
      <c r="D228" s="54" t="inlineStr">
        <is>
          <t>32301</t>
        </is>
      </c>
      <c r="E228" s="54" t="inlineStr">
        <is>
          <t>C07 - SUZANO MANUTENCAO TRES LAGOAS</t>
        </is>
      </c>
      <c r="F228" s="49" t="inlineStr">
        <is>
          <t>210106826</t>
        </is>
      </c>
      <c r="G228" s="54" t="inlineStr">
        <is>
          <t>FERNANDO RAIMUNDO DA SILVA</t>
        </is>
      </c>
      <c r="H228" s="49" t="inlineStr">
        <is>
          <t>04751122100</t>
        </is>
      </c>
      <c r="I228" s="55" t="n">
        <v>46235</v>
      </c>
      <c r="J228" s="84" t="n">
        <v>39.59</v>
      </c>
      <c r="K228" s="57" t="inlineStr">
        <is>
          <t>ATIVA</t>
        </is>
      </c>
      <c r="L228" s="58" t="n">
        <v>46252</v>
      </c>
    </row>
    <row r="229">
      <c r="A229" s="54" t="inlineStr">
        <is>
          <t>71768171</t>
        </is>
      </c>
      <c r="B229" s="54" t="inlineStr">
        <is>
          <t>TIM</t>
        </is>
      </c>
      <c r="C229" s="54" t="inlineStr">
        <is>
          <t>15981632344</t>
        </is>
      </c>
      <c r="D229" s="54" t="inlineStr">
        <is>
          <t>52401</t>
        </is>
      </c>
      <c r="E229" s="54" t="inlineStr">
        <is>
          <t>C14 - KLABIN JAGUARIAIVA</t>
        </is>
      </c>
      <c r="F229" s="49" t="n"/>
      <c r="G229" s="54" t="inlineStr">
        <is>
          <t>Everton Da Silva Teixeira</t>
        </is>
      </c>
      <c r="H229" s="49" t="n"/>
      <c r="I229" s="55" t="n">
        <v>46235</v>
      </c>
      <c r="J229" s="84" t="n">
        <v>39.24</v>
      </c>
      <c r="K229" s="54" t="inlineStr">
        <is>
          <t>VERIFICAR</t>
        </is>
      </c>
      <c r="L229" s="58" t="n">
        <v>46252</v>
      </c>
    </row>
    <row r="230">
      <c r="A230" s="54" t="n">
        <v>212522538</v>
      </c>
      <c r="B230" s="54" t="inlineStr">
        <is>
          <t>VIVO</t>
        </is>
      </c>
      <c r="C230" s="54" t="n">
        <v>15996788753</v>
      </c>
      <c r="D230" s="54" t="inlineStr">
        <is>
          <t>42401</t>
        </is>
      </c>
      <c r="E230" s="54" t="inlineStr">
        <is>
          <t>C02 - SUZANO SMA</t>
        </is>
      </c>
      <c r="F230" s="49" t="inlineStr">
        <is>
          <t>010212159</t>
        </is>
      </c>
      <c r="G230" s="54" t="inlineStr">
        <is>
          <t>FERNANDO RODRIGUES</t>
        </is>
      </c>
      <c r="H230" s="49" t="inlineStr">
        <is>
          <t>15718759804</t>
        </is>
      </c>
      <c r="I230" s="55" t="n">
        <v>46235</v>
      </c>
      <c r="J230" s="84" t="n">
        <v>39.59</v>
      </c>
      <c r="K230" s="57" t="inlineStr">
        <is>
          <t>ATIVA</t>
        </is>
      </c>
      <c r="L230" s="58" t="n">
        <v>46252</v>
      </c>
    </row>
    <row r="231">
      <c r="A231" s="54" t="n">
        <v>212522538</v>
      </c>
      <c r="B231" s="54" t="inlineStr">
        <is>
          <t>VIVO</t>
        </is>
      </c>
      <c r="C231" s="54" t="n">
        <v>15997555270</v>
      </c>
      <c r="D231" s="54" t="inlineStr">
        <is>
          <t>42401</t>
        </is>
      </c>
      <c r="E231" s="54" t="inlineStr">
        <is>
          <t>C02 - SUZANO SMA</t>
        </is>
      </c>
      <c r="F231" s="49" t="inlineStr">
        <is>
          <t>010212159</t>
        </is>
      </c>
      <c r="G231" s="54" t="inlineStr">
        <is>
          <t>FERNANDO RODRIGUES</t>
        </is>
      </c>
      <c r="H231" s="49" t="inlineStr">
        <is>
          <t>15718759804</t>
        </is>
      </c>
      <c r="I231" s="55" t="n">
        <v>46235</v>
      </c>
      <c r="J231" s="84" t="n">
        <v>39.59</v>
      </c>
      <c r="K231" s="57" t="inlineStr">
        <is>
          <t>ATIVA</t>
        </is>
      </c>
      <c r="L231" s="58" t="n">
        <v>46252</v>
      </c>
    </row>
    <row r="232">
      <c r="A232" s="54" t="inlineStr">
        <is>
          <t>71768171</t>
        </is>
      </c>
      <c r="B232" s="54" t="inlineStr">
        <is>
          <t>TIM</t>
        </is>
      </c>
      <c r="C232" s="54" t="inlineStr">
        <is>
          <t>15981470750</t>
        </is>
      </c>
      <c r="D232" s="54" t="inlineStr">
        <is>
          <t>51301</t>
        </is>
      </c>
      <c r="E232" s="54" t="inlineStr">
        <is>
          <t>C13 - KLABIN CURIUVA</t>
        </is>
      </c>
      <c r="F232" s="49" t="inlineStr">
        <is>
          <t>701001888</t>
        </is>
      </c>
      <c r="G232" s="54" t="inlineStr">
        <is>
          <t>FABIO ANDRE RIBEIRO</t>
        </is>
      </c>
      <c r="H232" s="49" t="inlineStr">
        <is>
          <t>03671177977</t>
        </is>
      </c>
      <c r="I232" s="55" t="n">
        <v>46235</v>
      </c>
      <c r="J232" s="84" t="n">
        <v>32</v>
      </c>
      <c r="K232" s="54" t="inlineStr">
        <is>
          <t>DESLIGADO</t>
        </is>
      </c>
      <c r="L232" s="58" t="n">
        <v>46252</v>
      </c>
    </row>
    <row r="233">
      <c r="A233" s="54" t="n">
        <v>212522538</v>
      </c>
      <c r="B233" s="54" t="inlineStr">
        <is>
          <t>VIVO</t>
        </is>
      </c>
      <c r="C233" s="54" t="n">
        <v>15996255438</v>
      </c>
      <c r="D233" s="54" t="inlineStr">
        <is>
          <t>42401</t>
        </is>
      </c>
      <c r="E233" s="54" t="inlineStr">
        <is>
          <t>C02 - SUZANO SMA</t>
        </is>
      </c>
      <c r="F233" s="49" t="inlineStr">
        <is>
          <t>010212159</t>
        </is>
      </c>
      <c r="G233" s="54" t="inlineStr">
        <is>
          <t>FERNANDO RODRIGUES</t>
        </is>
      </c>
      <c r="H233" s="49" t="inlineStr">
        <is>
          <t>15718759804</t>
        </is>
      </c>
      <c r="I233" s="55" t="n">
        <v>46235</v>
      </c>
      <c r="J233" s="84" t="n">
        <v>39.59</v>
      </c>
      <c r="K233" s="57" t="inlineStr">
        <is>
          <t>ATIVA</t>
        </is>
      </c>
      <c r="L233" s="58" t="n">
        <v>46252</v>
      </c>
    </row>
    <row r="234">
      <c r="A234" s="54" t="n">
        <v>212522538</v>
      </c>
      <c r="B234" s="54" t="inlineStr">
        <is>
          <t>VIVO</t>
        </is>
      </c>
      <c r="C234" s="63" t="n">
        <v>15991681247</v>
      </c>
      <c r="D234" s="63" t="inlineStr">
        <is>
          <t>91006</t>
        </is>
      </c>
      <c r="E234" s="63" t="inlineStr">
        <is>
          <t>DIRETORIA EXECUTIVA</t>
        </is>
      </c>
      <c r="F234" s="64" t="inlineStr">
        <is>
          <t>FAMILIA</t>
        </is>
      </c>
      <c r="G234" s="65" t="inlineStr">
        <is>
          <t>Fernando Valvassori De Almeida</t>
        </is>
      </c>
      <c r="H234" s="49" t="inlineStr">
        <is>
          <t>22816746810</t>
        </is>
      </c>
      <c r="I234" s="55" t="n">
        <v>46235</v>
      </c>
      <c r="J234" s="84" t="n">
        <v>190.55</v>
      </c>
      <c r="K234" s="57" t="inlineStr">
        <is>
          <t>ATIVA</t>
        </is>
      </c>
      <c r="L234" s="58" t="n">
        <v>46252</v>
      </c>
    </row>
    <row r="235">
      <c r="A235" s="54" t="n">
        <v>212522538</v>
      </c>
      <c r="B235" s="54" t="inlineStr">
        <is>
          <t>VIVO</t>
        </is>
      </c>
      <c r="C235" s="63" t="n">
        <v>15996252898</v>
      </c>
      <c r="D235" s="63" t="n">
        <v>91006</v>
      </c>
      <c r="E235" s="63" t="inlineStr">
        <is>
          <t>DIRETORIA EXECUTIVA</t>
        </is>
      </c>
      <c r="F235" s="64" t="inlineStr">
        <is>
          <t>FAMILIA</t>
        </is>
      </c>
      <c r="G235" s="65" t="inlineStr">
        <is>
          <t>Filha Felipe</t>
        </is>
      </c>
      <c r="H235" s="49" t="n"/>
      <c r="I235" s="55" t="n">
        <v>46235</v>
      </c>
      <c r="J235" s="84" t="n">
        <v>149.98</v>
      </c>
      <c r="K235" s="54" t="inlineStr">
        <is>
          <t>ATIVA</t>
        </is>
      </c>
      <c r="L235" s="58" t="n">
        <v>46252</v>
      </c>
    </row>
    <row r="236">
      <c r="A236" s="54" t="inlineStr">
        <is>
          <t>71768171</t>
        </is>
      </c>
      <c r="B236" s="54" t="inlineStr">
        <is>
          <t>TIM</t>
        </is>
      </c>
      <c r="C236" s="54" t="inlineStr">
        <is>
          <t>15981472441</t>
        </is>
      </c>
      <c r="D236" s="54" t="inlineStr">
        <is>
          <t>516</t>
        </is>
      </c>
      <c r="E236" s="54" t="inlineStr">
        <is>
          <t>QUALIDADE PR2</t>
        </is>
      </c>
      <c r="F236" s="49" t="inlineStr">
        <is>
          <t>701000947</t>
        </is>
      </c>
      <c r="G236" s="54" t="inlineStr">
        <is>
          <t>FELIPE CHAGAS DE MOURA BUENO</t>
        </is>
      </c>
      <c r="H236" s="49" t="inlineStr">
        <is>
          <t>09583843989</t>
        </is>
      </c>
      <c r="I236" s="55" t="n">
        <v>46235</v>
      </c>
      <c r="J236" s="84" t="n">
        <v>32</v>
      </c>
      <c r="K236" s="57" t="inlineStr">
        <is>
          <t>ATIVA</t>
        </is>
      </c>
      <c r="L236" s="58" t="n">
        <v>46252</v>
      </c>
    </row>
    <row r="237">
      <c r="A237" s="54" t="n">
        <v>212522538</v>
      </c>
      <c r="B237" s="54" t="inlineStr">
        <is>
          <t>VIVO</t>
        </is>
      </c>
      <c r="C237" s="54" t="n">
        <v>15998548274</v>
      </c>
      <c r="D237" s="54" t="n">
        <v>42501</v>
      </c>
      <c r="E237" s="54" t="inlineStr">
        <is>
          <t>C02 - BRACELL CBO</t>
        </is>
      </c>
      <c r="F237" s="74" t="inlineStr">
        <is>
          <t>FROTA</t>
        </is>
      </c>
      <c r="G237" s="54" t="inlineStr">
        <is>
          <t>FROTA CBO - VERIFICAR</t>
        </is>
      </c>
      <c r="H237" s="49" t="n"/>
      <c r="I237" s="55" t="n">
        <v>46235</v>
      </c>
      <c r="J237" s="84" t="n">
        <v>39.59</v>
      </c>
      <c r="K237" s="54" t="inlineStr">
        <is>
          <t>VERIFICAR</t>
        </is>
      </c>
      <c r="L237" s="58" t="n">
        <v>46252</v>
      </c>
    </row>
    <row r="238">
      <c r="A238" s="54" t="inlineStr">
        <is>
          <t>71768171</t>
        </is>
      </c>
      <c r="B238" s="54" t="inlineStr">
        <is>
          <t>TIM</t>
        </is>
      </c>
      <c r="C238" s="54" t="inlineStr">
        <is>
          <t>15981632319</t>
        </is>
      </c>
      <c r="D238" s="54" t="inlineStr">
        <is>
          <t>42501</t>
        </is>
      </c>
      <c r="E238" s="54" t="inlineStr">
        <is>
          <t>C02 - BRACELL CBO</t>
        </is>
      </c>
      <c r="F238" s="49" t="inlineStr">
        <is>
          <t>10212450</t>
        </is>
      </c>
      <c r="G238" s="54" t="inlineStr">
        <is>
          <t>Felipe De Oliveira Silva</t>
        </is>
      </c>
      <c r="H238" s="49" t="n"/>
      <c r="I238" s="55" t="n">
        <v>46235</v>
      </c>
      <c r="J238" s="84" t="n">
        <v>39.24</v>
      </c>
      <c r="K238" s="54" t="inlineStr">
        <is>
          <t>VERIFICAR</t>
        </is>
      </c>
      <c r="L238" s="58" t="n">
        <v>46252</v>
      </c>
    </row>
    <row r="239">
      <c r="A239" s="54" t="n">
        <v>212522538</v>
      </c>
      <c r="B239" s="54" t="inlineStr">
        <is>
          <t>VIVO</t>
        </is>
      </c>
      <c r="C239" s="54" t="n">
        <v>15996043072</v>
      </c>
      <c r="D239" s="54" t="n">
        <v>11</v>
      </c>
      <c r="E239" s="54" t="inlineStr">
        <is>
          <t>CONTROLADORIA</t>
        </is>
      </c>
      <c r="F239" s="49" t="inlineStr">
        <is>
          <t>FORA SIGO</t>
        </is>
      </c>
      <c r="G239" s="54" t="inlineStr">
        <is>
          <t>Fiscal</t>
        </is>
      </c>
      <c r="H239" s="49" t="n"/>
      <c r="I239" s="55" t="n">
        <v>46235</v>
      </c>
      <c r="J239" s="84" t="n">
        <v>39.59</v>
      </c>
      <c r="K239" s="54" t="inlineStr">
        <is>
          <t>ATIVA</t>
        </is>
      </c>
      <c r="L239" s="58" t="n">
        <v>46252</v>
      </c>
    </row>
    <row r="240">
      <c r="A240" s="54" t="inlineStr">
        <is>
          <t>71768171</t>
        </is>
      </c>
      <c r="B240" s="54" t="inlineStr">
        <is>
          <t>TIM</t>
        </is>
      </c>
      <c r="C240" s="54" t="inlineStr">
        <is>
          <t>15981571852</t>
        </is>
      </c>
      <c r="D240" s="54" t="inlineStr">
        <is>
          <t>2151</t>
        </is>
      </c>
      <c r="E240" s="54" t="inlineStr">
        <is>
          <t>SSMA ITARARE</t>
        </is>
      </c>
      <c r="F240" s="49" t="n"/>
      <c r="G240" s="54" t="inlineStr">
        <is>
          <t>FELIPE RENATO FERREIRA</t>
        </is>
      </c>
      <c r="H240" s="49" t="inlineStr">
        <is>
          <t>42015970835</t>
        </is>
      </c>
      <c r="I240" s="55" t="n">
        <v>46235</v>
      </c>
      <c r="J240" s="84" t="n">
        <v>35</v>
      </c>
      <c r="K240" s="54" t="inlineStr">
        <is>
          <t>DESLIGADO</t>
        </is>
      </c>
      <c r="L240" s="58" t="n">
        <v>46252</v>
      </c>
    </row>
    <row r="241">
      <c r="A241" s="54" t="n">
        <v>212522538</v>
      </c>
      <c r="B241" s="54" t="inlineStr">
        <is>
          <t>VIVO</t>
        </is>
      </c>
      <c r="C241" s="54" t="n">
        <v>67996453546</v>
      </c>
      <c r="D241" s="54" t="n">
        <v>42501</v>
      </c>
      <c r="E241" s="54" t="inlineStr">
        <is>
          <t>C02 - BRACELL CBO</t>
        </is>
      </c>
      <c r="F241" s="74" t="inlineStr">
        <is>
          <t>FROTA</t>
        </is>
      </c>
      <c r="G241" s="54" t="inlineStr">
        <is>
          <t>FROTA CBO - VERIFICAR</t>
        </is>
      </c>
      <c r="H241" s="49" t="n"/>
      <c r="I241" s="55" t="n">
        <v>46235</v>
      </c>
      <c r="J241" s="84" t="n">
        <v>54.63</v>
      </c>
      <c r="K241" s="54" t="inlineStr">
        <is>
          <t>VERIFICAR</t>
        </is>
      </c>
      <c r="L241" s="58" t="n">
        <v>46252</v>
      </c>
    </row>
    <row r="242">
      <c r="A242" s="54" t="n">
        <v>212522538</v>
      </c>
      <c r="B242" s="54" t="inlineStr">
        <is>
          <t>VIVO</t>
        </is>
      </c>
      <c r="C242" s="54" t="n">
        <v>15996017114</v>
      </c>
      <c r="D242" s="54" t="n">
        <v>41201</v>
      </c>
      <c r="E242" s="54" t="inlineStr">
        <is>
          <t>BRACELL DUARTINA</t>
        </is>
      </c>
      <c r="F242" s="49" t="inlineStr">
        <is>
          <t>FROTA</t>
        </is>
      </c>
      <c r="G242" s="54" t="inlineStr">
        <is>
          <t>FKF9288</t>
        </is>
      </c>
      <c r="H242" s="49" t="n"/>
      <c r="I242" s="55" t="n">
        <v>46235</v>
      </c>
      <c r="J242" s="84" t="n">
        <v>39.59</v>
      </c>
      <c r="K242" s="57" t="inlineStr">
        <is>
          <t>ATIVA</t>
        </is>
      </c>
      <c r="L242" s="58" t="n">
        <v>46252</v>
      </c>
    </row>
    <row r="243">
      <c r="A243" s="54" t="n">
        <v>212522538</v>
      </c>
      <c r="B243" s="54" t="inlineStr">
        <is>
          <t>VIVO</t>
        </is>
      </c>
      <c r="C243" s="54" t="n">
        <v>15997401208</v>
      </c>
      <c r="D243" s="54" t="inlineStr">
        <is>
          <t>41201</t>
        </is>
      </c>
      <c r="E243" s="54" t="inlineStr">
        <is>
          <t>C05 - BRACELL DUARTINA</t>
        </is>
      </c>
      <c r="F243" s="49" t="inlineStr">
        <is>
          <t>010313979</t>
        </is>
      </c>
      <c r="G243" s="49" t="inlineStr">
        <is>
          <t>FLAVIANO APARECIDO PEDRO</t>
        </is>
      </c>
      <c r="H243" s="49" t="inlineStr">
        <is>
          <t>37477793874</t>
        </is>
      </c>
      <c r="I243" s="55" t="n">
        <v>46235</v>
      </c>
      <c r="J243" s="84" t="n">
        <v>39.59</v>
      </c>
      <c r="K243" s="57" t="inlineStr">
        <is>
          <t>ATIVA</t>
        </is>
      </c>
      <c r="L243" s="58" t="n">
        <v>46252</v>
      </c>
    </row>
    <row r="244">
      <c r="A244" s="54" t="n">
        <v>212522538</v>
      </c>
      <c r="B244" s="54" t="inlineStr">
        <is>
          <t>VIVO</t>
        </is>
      </c>
      <c r="C244" s="54" t="n">
        <v>15998538641</v>
      </c>
      <c r="D244" s="54" t="n">
        <v>320</v>
      </c>
      <c r="E244" s="54" t="inlineStr">
        <is>
          <t>GESTAO OP MS1</t>
        </is>
      </c>
      <c r="F244" s="49" t="inlineStr">
        <is>
          <t>00058003426</t>
        </is>
      </c>
      <c r="G244" s="54" t="inlineStr">
        <is>
          <t>Flavio Samuel</t>
        </is>
      </c>
      <c r="H244" s="49" t="inlineStr">
        <is>
          <t>58003426000189</t>
        </is>
      </c>
      <c r="I244" s="55" t="n">
        <v>46235</v>
      </c>
      <c r="J244" s="84" t="n">
        <v>39.59</v>
      </c>
      <c r="K244" s="54" t="inlineStr">
        <is>
          <t>ATIVA</t>
        </is>
      </c>
      <c r="L244" s="58" t="n">
        <v>46252</v>
      </c>
    </row>
    <row r="245">
      <c r="A245" s="54" t="n">
        <v>212522538</v>
      </c>
      <c r="B245" s="54" t="inlineStr">
        <is>
          <t>VIVO</t>
        </is>
      </c>
      <c r="C245" s="54" t="n">
        <v>15998229309</v>
      </c>
      <c r="D245" s="54" t="inlineStr">
        <is>
          <t>11</t>
        </is>
      </c>
      <c r="E245" s="54" t="inlineStr">
        <is>
          <t>CONTROLADORIA</t>
        </is>
      </c>
      <c r="F245" s="49" t="inlineStr">
        <is>
          <t>010621675</t>
        </is>
      </c>
      <c r="G245" s="54" t="inlineStr">
        <is>
          <t>FRANCISCO MUNHOZ SEVERINO</t>
        </is>
      </c>
      <c r="H245" s="49" t="inlineStr">
        <is>
          <t>46925467869</t>
        </is>
      </c>
      <c r="I245" s="55" t="n">
        <v>46235</v>
      </c>
      <c r="J245" s="84" t="n">
        <v>39.59</v>
      </c>
      <c r="K245" s="57" t="inlineStr">
        <is>
          <t>ATIVA</t>
        </is>
      </c>
      <c r="L245" s="58" t="n">
        <v>46252</v>
      </c>
    </row>
    <row r="246">
      <c r="A246" s="54" t="inlineStr">
        <is>
          <t>71768171</t>
        </is>
      </c>
      <c r="B246" s="54" t="inlineStr">
        <is>
          <t>TIM</t>
        </is>
      </c>
      <c r="C246" s="54" t="inlineStr">
        <is>
          <t>15981910053</t>
        </is>
      </c>
      <c r="D246" s="54" t="inlineStr">
        <is>
          <t>516</t>
        </is>
      </c>
      <c r="E246" s="54" t="inlineStr">
        <is>
          <t>QUALIDADE PR2</t>
        </is>
      </c>
      <c r="F246" s="49" t="inlineStr">
        <is>
          <t>701002744</t>
        </is>
      </c>
      <c r="G246" s="54" t="inlineStr">
        <is>
          <t>FERNANDO BUENO DE OLIVEIRA FILHO</t>
        </is>
      </c>
      <c r="H246" s="49" t="inlineStr">
        <is>
          <t>44580101820</t>
        </is>
      </c>
      <c r="I246" s="55" t="n">
        <v>46235</v>
      </c>
      <c r="J246" s="84" t="n">
        <v>36.5</v>
      </c>
      <c r="K246" s="54" t="inlineStr">
        <is>
          <t>DESLIGADO</t>
        </is>
      </c>
      <c r="L246" s="58" t="n">
        <v>46252</v>
      </c>
    </row>
    <row r="247">
      <c r="A247" s="54" t="inlineStr">
        <is>
          <t>71768171</t>
        </is>
      </c>
      <c r="B247" s="54" t="inlineStr">
        <is>
          <t>TIM</t>
        </is>
      </c>
      <c r="C247" s="54" t="inlineStr">
        <is>
          <t>15981841366</t>
        </is>
      </c>
      <c r="D247" s="54" t="inlineStr">
        <is>
          <t>510</t>
        </is>
      </c>
      <c r="E247" s="54" t="inlineStr">
        <is>
          <t>GESTAO OP PR2</t>
        </is>
      </c>
      <c r="F247" s="49" t="n"/>
      <c r="G247" s="54" t="inlineStr">
        <is>
          <t>Fernando Bueno De Oliveira Gestão Op Sul</t>
        </is>
      </c>
      <c r="H247" s="49" t="n"/>
      <c r="I247" s="55" t="n">
        <v>46235</v>
      </c>
      <c r="J247" s="84" t="n">
        <v>44.5</v>
      </c>
      <c r="K247" s="54" t="inlineStr">
        <is>
          <t>VERIFICAR</t>
        </is>
      </c>
      <c r="L247" s="58" t="n">
        <v>46252</v>
      </c>
    </row>
    <row r="248" ht="16.5" customHeight="1">
      <c r="A248" s="54" t="n">
        <v>212522538</v>
      </c>
      <c r="B248" s="54" t="inlineStr">
        <is>
          <t>VIVO</t>
        </is>
      </c>
      <c r="C248" s="54" t="n">
        <v>67996632386</v>
      </c>
      <c r="D248" s="54" t="n">
        <v>2100</v>
      </c>
      <c r="E248" s="54" t="inlineStr">
        <is>
          <t>GESTAO SSMA</t>
        </is>
      </c>
      <c r="F248" s="54" t="inlineStr">
        <is>
          <t>FORA SIGO</t>
        </is>
      </c>
      <c r="G248" s="77" t="inlineStr">
        <is>
          <t>FRANÇOAR DA SILVA</t>
        </is>
      </c>
      <c r="H248" s="49" t="n"/>
      <c r="I248" s="55" t="n">
        <v>46235</v>
      </c>
      <c r="J248" s="84" t="n">
        <v>54.63</v>
      </c>
      <c r="K248" s="57" t="inlineStr">
        <is>
          <t>ATIVA</t>
        </is>
      </c>
      <c r="L248" s="58" t="n">
        <v>46252</v>
      </c>
    </row>
    <row r="249">
      <c r="A249" s="54" t="n">
        <v>212522538</v>
      </c>
      <c r="B249" s="54" t="inlineStr">
        <is>
          <t>VIVO</t>
        </is>
      </c>
      <c r="C249" s="54" t="n">
        <v>15996001766</v>
      </c>
      <c r="D249" s="54" t="inlineStr">
        <is>
          <t>2100</t>
        </is>
      </c>
      <c r="E249" s="54" t="inlineStr">
        <is>
          <t>GESTAO SSMA</t>
        </is>
      </c>
      <c r="F249" s="49" t="inlineStr">
        <is>
          <t>010820416</t>
        </is>
      </c>
      <c r="G249" s="54" t="inlineStr">
        <is>
          <t>GABRIEL SOUSA SANTOS</t>
        </is>
      </c>
      <c r="H249" s="49" t="inlineStr">
        <is>
          <t>02100986511</t>
        </is>
      </c>
      <c r="I249" s="55" t="n">
        <v>46235</v>
      </c>
      <c r="J249" s="84" t="n">
        <v>39.59</v>
      </c>
      <c r="K249" s="57" t="inlineStr">
        <is>
          <t>ATIVA</t>
        </is>
      </c>
      <c r="L249" s="58" t="n">
        <v>46252</v>
      </c>
    </row>
    <row r="250">
      <c r="A250" s="54" t="n">
        <v>212522538</v>
      </c>
      <c r="B250" s="54" t="inlineStr">
        <is>
          <t>VIVO</t>
        </is>
      </c>
      <c r="C250" s="54" t="n">
        <v>67998200733</v>
      </c>
      <c r="D250" s="54" t="inlineStr">
        <is>
          <t>2131</t>
        </is>
      </c>
      <c r="E250" s="54" t="inlineStr">
        <is>
          <t>SSMA DUARTINA</t>
        </is>
      </c>
      <c r="F250" s="49" t="inlineStr">
        <is>
          <t>010320461</t>
        </is>
      </c>
      <c r="G250" s="54" t="inlineStr">
        <is>
          <t>GABRIEL WILLIAN MESSIAS AGUIAR</t>
        </is>
      </c>
      <c r="H250" s="49" t="inlineStr">
        <is>
          <t>37597513852</t>
        </is>
      </c>
      <c r="I250" s="55" t="n">
        <v>46235</v>
      </c>
      <c r="J250" s="84" t="n">
        <v>54.63</v>
      </c>
      <c r="K250" s="57" t="inlineStr">
        <is>
          <t>ATIVA</t>
        </is>
      </c>
      <c r="L250" s="58" t="n">
        <v>46252</v>
      </c>
    </row>
    <row r="251">
      <c r="A251" s="54" t="n">
        <v>212522538</v>
      </c>
      <c r="B251" s="54" t="inlineStr">
        <is>
          <t>VIVO</t>
        </is>
      </c>
      <c r="C251" s="54" t="n">
        <v>15998230990</v>
      </c>
      <c r="D251" s="54" t="inlineStr">
        <is>
          <t>32200</t>
        </is>
      </c>
      <c r="E251" s="54" t="inlineStr">
        <is>
          <t>GESTAO OP AGUA CLARA</t>
        </is>
      </c>
      <c r="F251" s="49" t="inlineStr">
        <is>
          <t>210106755</t>
        </is>
      </c>
      <c r="G251" s="54" t="inlineStr">
        <is>
          <t>GABRIELA ARINOS BARBOSA</t>
        </is>
      </c>
      <c r="H251" s="49" t="inlineStr">
        <is>
          <t>03087167100</t>
        </is>
      </c>
      <c r="I251" s="55" t="n">
        <v>46235</v>
      </c>
      <c r="J251" s="84" t="n">
        <v>39.59</v>
      </c>
      <c r="K251" s="57" t="inlineStr">
        <is>
          <t>ATIVA</t>
        </is>
      </c>
      <c r="L251" s="58" t="n">
        <v>46252</v>
      </c>
    </row>
    <row r="252">
      <c r="A252" s="54" t="n">
        <v>212522538</v>
      </c>
      <c r="B252" s="54" t="inlineStr">
        <is>
          <t>VIVO</t>
        </is>
      </c>
      <c r="C252" s="54" t="n">
        <v>15997340632</v>
      </c>
      <c r="D252" s="54" t="inlineStr">
        <is>
          <t>42900</t>
        </is>
      </c>
      <c r="E252" s="54" t="inlineStr">
        <is>
          <t>GESTAO OP BRACELL CBO</t>
        </is>
      </c>
      <c r="F252" s="62" t="inlineStr">
        <is>
          <t>010221448</t>
        </is>
      </c>
      <c r="G252" s="54" t="inlineStr">
        <is>
          <t>GABRIELE MARIA MASSARANI</t>
        </is>
      </c>
      <c r="H252" s="49" t="inlineStr">
        <is>
          <t>42587150850</t>
        </is>
      </c>
      <c r="I252" s="55" t="n">
        <v>46235</v>
      </c>
      <c r="J252" s="84" t="n">
        <v>39.59</v>
      </c>
      <c r="K252" s="57" t="inlineStr">
        <is>
          <t>ATIVA</t>
        </is>
      </c>
      <c r="L252" s="58" t="n">
        <v>46252</v>
      </c>
    </row>
    <row r="253">
      <c r="A253" s="54" t="n">
        <v>212522538</v>
      </c>
      <c r="B253" s="54" t="inlineStr">
        <is>
          <t>VIVO</t>
        </is>
      </c>
      <c r="C253" s="54" t="n">
        <v>15996951479</v>
      </c>
      <c r="D253" s="54" t="inlineStr">
        <is>
          <t>42900</t>
        </is>
      </c>
      <c r="E253" s="54" t="inlineStr">
        <is>
          <t>GESTAO OP BRACELL CBO</t>
        </is>
      </c>
      <c r="F253" s="49" t="inlineStr">
        <is>
          <t>010221448</t>
        </is>
      </c>
      <c r="G253" s="54" t="inlineStr">
        <is>
          <t>GABRIELE MARIA MASSARANI</t>
        </is>
      </c>
      <c r="H253" s="49" t="inlineStr">
        <is>
          <t>42587150850</t>
        </is>
      </c>
      <c r="I253" s="55" t="n">
        <v>46235</v>
      </c>
      <c r="J253" s="84" t="n">
        <v>39.59</v>
      </c>
      <c r="K253" s="57" t="inlineStr">
        <is>
          <t>ATIVA</t>
        </is>
      </c>
      <c r="L253" s="58" t="n">
        <v>46252</v>
      </c>
    </row>
    <row r="254">
      <c r="A254" s="54" t="n">
        <v>212522538</v>
      </c>
      <c r="B254" s="54" t="inlineStr">
        <is>
          <t>VIVO</t>
        </is>
      </c>
      <c r="C254" s="54" t="n">
        <v>15996584445</v>
      </c>
      <c r="D254" s="54" t="n">
        <v>42301</v>
      </c>
      <c r="E254" s="54" t="inlineStr">
        <is>
          <t>C04 - SUZANO CACAPAVA</t>
        </is>
      </c>
      <c r="F254" s="49" t="inlineStr">
        <is>
          <t>FORA SIGO</t>
        </is>
      </c>
      <c r="G254" s="54" t="inlineStr">
        <is>
          <t>Gabrielly de Paula Silva</t>
        </is>
      </c>
      <c r="H254" s="49" t="n"/>
      <c r="I254" s="55" t="n">
        <v>46235</v>
      </c>
      <c r="J254" s="84" t="n">
        <v>39.59</v>
      </c>
      <c r="K254" s="54" t="inlineStr">
        <is>
          <t>ATIVA</t>
        </is>
      </c>
      <c r="L254" s="58" t="n">
        <v>46252</v>
      </c>
    </row>
    <row r="255">
      <c r="A255" s="54" t="n">
        <v>212522538</v>
      </c>
      <c r="B255" s="54" t="inlineStr">
        <is>
          <t>VIVO</t>
        </is>
      </c>
      <c r="C255" s="54" t="n">
        <v>15996325203</v>
      </c>
      <c r="D255" s="54" t="n">
        <v>42550</v>
      </c>
      <c r="E255" s="68" t="inlineStr">
        <is>
          <t>C02 - SUZANO CBO</t>
        </is>
      </c>
      <c r="F255" s="49" t="inlineStr">
        <is>
          <t>FROTA</t>
        </is>
      </c>
      <c r="G255" s="68" t="inlineStr">
        <is>
          <t>FROTA SEM ID</t>
        </is>
      </c>
      <c r="H255" s="49" t="n"/>
      <c r="I255" s="55" t="n">
        <v>46235</v>
      </c>
      <c r="J255" s="84" t="n">
        <v>39.59</v>
      </c>
      <c r="K255" s="68" t="inlineStr">
        <is>
          <t>VERIFICAR</t>
        </is>
      </c>
      <c r="L255" s="58" t="n">
        <v>46252</v>
      </c>
    </row>
    <row r="256">
      <c r="A256" s="54" t="n">
        <v>212522538</v>
      </c>
      <c r="B256" s="54" t="inlineStr">
        <is>
          <t>VIVO</t>
        </is>
      </c>
      <c r="C256" s="54" t="n">
        <v>15998173379</v>
      </c>
      <c r="D256" s="54" t="n">
        <v>41501</v>
      </c>
      <c r="E256" s="54" t="inlineStr">
        <is>
          <t>C03 - BRACELL ITATINGA</t>
        </is>
      </c>
      <c r="F256" s="49" t="inlineStr">
        <is>
          <t>FROTA</t>
        </is>
      </c>
      <c r="G256" s="54" t="inlineStr">
        <is>
          <t>GAJ3F50</t>
        </is>
      </c>
      <c r="H256" s="49" t="n"/>
      <c r="I256" s="55" t="n">
        <v>46235</v>
      </c>
      <c r="J256" s="84" t="n">
        <v>39.59</v>
      </c>
      <c r="K256" s="57" t="inlineStr">
        <is>
          <t>ATIVA</t>
        </is>
      </c>
      <c r="L256" s="58" t="n">
        <v>46252</v>
      </c>
    </row>
    <row r="257">
      <c r="A257" s="54" t="n">
        <v>212522538</v>
      </c>
      <c r="B257" s="54" t="inlineStr">
        <is>
          <t>VIVO</t>
        </is>
      </c>
      <c r="C257" s="54" t="n">
        <v>15998186349</v>
      </c>
      <c r="D257" s="54" t="n">
        <v>41601</v>
      </c>
      <c r="E257" s="54" t="inlineStr">
        <is>
          <t>EUCATEX ITATINGA</t>
        </is>
      </c>
      <c r="F257" s="49" t="inlineStr">
        <is>
          <t>FROTA</t>
        </is>
      </c>
      <c r="G257" s="68" t="inlineStr">
        <is>
          <t>FROTA SEM ID</t>
        </is>
      </c>
      <c r="H257" s="49" t="n"/>
      <c r="I257" s="55" t="n">
        <v>46235</v>
      </c>
      <c r="J257" s="84" t="n">
        <v>39.59</v>
      </c>
      <c r="K257" s="68" t="inlineStr">
        <is>
          <t>VERIFICAR</t>
        </is>
      </c>
      <c r="L257" s="58" t="n">
        <v>46252</v>
      </c>
    </row>
    <row r="258">
      <c r="A258" s="54" t="n">
        <v>212522538</v>
      </c>
      <c r="B258" s="54" t="inlineStr">
        <is>
          <t>VIVO</t>
        </is>
      </c>
      <c r="C258" s="54" t="n">
        <v>15996033644</v>
      </c>
      <c r="D258" s="54" t="inlineStr">
        <is>
          <t>2121</t>
        </is>
      </c>
      <c r="E258" s="54" t="inlineStr">
        <is>
          <t>SSMA AGUA CLARA</t>
        </is>
      </c>
      <c r="F258" s="62" t="inlineStr">
        <is>
          <t>210106345</t>
        </is>
      </c>
      <c r="G258" s="54" t="inlineStr">
        <is>
          <t>GEAN PAULO FERNANDES PANIAGO</t>
        </is>
      </c>
      <c r="H258" s="49" t="inlineStr">
        <is>
          <t>04842907118</t>
        </is>
      </c>
      <c r="I258" s="55" t="n">
        <v>46235</v>
      </c>
      <c r="J258" s="84" t="n">
        <v>39.59</v>
      </c>
      <c r="K258" s="57" t="inlineStr">
        <is>
          <t>ATIVA</t>
        </is>
      </c>
      <c r="L258" s="58" t="n">
        <v>46252</v>
      </c>
    </row>
    <row r="259">
      <c r="A259" s="54" t="inlineStr">
        <is>
          <t>71768171</t>
        </is>
      </c>
      <c r="B259" s="54" t="inlineStr">
        <is>
          <t>TIM</t>
        </is>
      </c>
      <c r="C259" s="54" t="inlineStr">
        <is>
          <t>15981632366</t>
        </is>
      </c>
      <c r="D259" s="54" t="inlineStr">
        <is>
          <t>510</t>
        </is>
      </c>
      <c r="E259" s="54" t="inlineStr">
        <is>
          <t>GESTAO OP PR2</t>
        </is>
      </c>
      <c r="F259" s="49" t="n"/>
      <c r="G259" s="54" t="inlineStr">
        <is>
          <t>Flavio Rodrigo Cazaroto</t>
        </is>
      </c>
      <c r="H259" s="49" t="n"/>
      <c r="I259" s="55" t="n">
        <v>46235</v>
      </c>
      <c r="J259" s="84" t="n">
        <v>39.24</v>
      </c>
      <c r="K259" s="54" t="inlineStr">
        <is>
          <t>VERIFICAR</t>
        </is>
      </c>
      <c r="L259" s="58" t="n">
        <v>46252</v>
      </c>
    </row>
    <row r="260">
      <c r="A260" s="54" t="n">
        <v>212522538</v>
      </c>
      <c r="B260" s="54" t="inlineStr">
        <is>
          <t>VIVO</t>
        </is>
      </c>
      <c r="C260" s="54" t="n">
        <v>15997763167</v>
      </c>
      <c r="D260" s="9" t="n">
        <v>41201</v>
      </c>
      <c r="E260" s="54" t="inlineStr">
        <is>
          <t>C05 - BRACELL DUARTINA</t>
        </is>
      </c>
      <c r="F260" s="49" t="inlineStr">
        <is>
          <t>FROTA</t>
        </is>
      </c>
      <c r="G260" s="54" t="inlineStr">
        <is>
          <t>GEM8880</t>
        </is>
      </c>
      <c r="H260" s="49" t="n"/>
      <c r="I260" s="55" t="n">
        <v>46235</v>
      </c>
      <c r="J260" s="84" t="n">
        <v>39.59</v>
      </c>
      <c r="K260" s="54" t="inlineStr">
        <is>
          <t>ATIVA</t>
        </is>
      </c>
      <c r="L260" s="58" t="n">
        <v>46252</v>
      </c>
    </row>
    <row r="261">
      <c r="A261" s="54" t="n">
        <v>212522538</v>
      </c>
      <c r="B261" s="54" t="inlineStr">
        <is>
          <t>VIVO</t>
        </is>
      </c>
      <c r="C261" s="54" t="n">
        <v>15998202336</v>
      </c>
      <c r="D261" s="54" t="inlineStr">
        <is>
          <t>2141</t>
        </is>
      </c>
      <c r="E261" s="54" t="inlineStr">
        <is>
          <t>SSMA SANTA BRANCA</t>
        </is>
      </c>
      <c r="F261" s="49" t="inlineStr">
        <is>
          <t>010421159</t>
        </is>
      </c>
      <c r="G261" s="54" t="inlineStr">
        <is>
          <t>GEOFLEDES SALUSTIANO FRANCISCO SILVA</t>
        </is>
      </c>
      <c r="H261" s="49" t="inlineStr">
        <is>
          <t>33285791845</t>
        </is>
      </c>
      <c r="I261" s="55" t="n">
        <v>46235</v>
      </c>
      <c r="J261" s="84" t="n">
        <v>39.59</v>
      </c>
      <c r="K261" s="57" t="inlineStr">
        <is>
          <t>ATIVA</t>
        </is>
      </c>
      <c r="L261" s="58" t="n">
        <v>46252</v>
      </c>
    </row>
    <row r="262">
      <c r="A262" s="54" t="inlineStr">
        <is>
          <t>71768171</t>
        </is>
      </c>
      <c r="B262" s="54" t="inlineStr">
        <is>
          <t>TIM</t>
        </is>
      </c>
      <c r="C262" s="54" t="inlineStr">
        <is>
          <t>15981632315</t>
        </is>
      </c>
      <c r="D262" s="54" t="inlineStr">
        <is>
          <t>51301</t>
        </is>
      </c>
      <c r="E262" s="54" t="inlineStr">
        <is>
          <t>C13 - KLABIN CURIUVA</t>
        </is>
      </c>
      <c r="F262" s="49" t="n"/>
      <c r="G262" s="54" t="inlineStr">
        <is>
          <t>Gabriel Araujo Claudio / Fabiano Krette</t>
        </is>
      </c>
      <c r="H262" s="49" t="n"/>
      <c r="I262" s="55" t="n">
        <v>46235</v>
      </c>
      <c r="J262" s="84" t="n">
        <v>39.24</v>
      </c>
      <c r="K262" s="54" t="inlineStr">
        <is>
          <t>VERIFICAR</t>
        </is>
      </c>
      <c r="L262" s="58" t="n">
        <v>46252</v>
      </c>
    </row>
    <row r="263">
      <c r="A263" s="54" t="n">
        <v>212522538</v>
      </c>
      <c r="B263" s="54" t="inlineStr">
        <is>
          <t>VIVO</t>
        </is>
      </c>
      <c r="C263" s="49" t="inlineStr">
        <is>
          <t>12996633858</t>
        </is>
      </c>
      <c r="D263" s="54" t="inlineStr">
        <is>
          <t>42201</t>
        </is>
      </c>
      <c r="E263" s="54" t="inlineStr">
        <is>
          <t>C04 - SUZANO SANTA BRANCA</t>
        </is>
      </c>
      <c r="F263" s="49" t="inlineStr">
        <is>
          <t>49304065879</t>
        </is>
      </c>
      <c r="G263" s="54" t="inlineStr">
        <is>
          <t>Geovanna dos Santos Lopes</t>
        </is>
      </c>
      <c r="H263" s="49" t="inlineStr">
        <is>
          <t>49304065879</t>
        </is>
      </c>
      <c r="I263" s="55" t="n">
        <v>46235</v>
      </c>
      <c r="J263" s="84" t="n">
        <v>39.59</v>
      </c>
      <c r="K263" s="57" t="inlineStr">
        <is>
          <t>ATIVA</t>
        </is>
      </c>
      <c r="L263" s="58" t="n">
        <v>46252</v>
      </c>
    </row>
    <row r="264">
      <c r="A264" s="54" t="n">
        <v>212522538</v>
      </c>
      <c r="B264" s="54" t="inlineStr">
        <is>
          <t>VIVO</t>
        </is>
      </c>
      <c r="C264" s="54" t="n">
        <v>15996221852</v>
      </c>
      <c r="D264" s="54" t="n">
        <v>41401</v>
      </c>
      <c r="E264" s="54" t="inlineStr">
        <is>
          <t>C03 - BRACELL DOURADO</t>
        </is>
      </c>
      <c r="F264" s="49" t="inlineStr">
        <is>
          <t>010321407</t>
        </is>
      </c>
      <c r="G264" s="54" t="inlineStr">
        <is>
          <t>GEREMIAS DOS SANTOS</t>
        </is>
      </c>
      <c r="H264" s="49" t="inlineStr">
        <is>
          <t>24692334886</t>
        </is>
      </c>
      <c r="I264" s="55" t="n">
        <v>46235</v>
      </c>
      <c r="J264" s="84" t="n">
        <v>39.59</v>
      </c>
      <c r="K264" s="57" t="inlineStr">
        <is>
          <t>ATIVA</t>
        </is>
      </c>
      <c r="L264" s="58" t="n">
        <v>46252</v>
      </c>
    </row>
    <row r="265">
      <c r="A265" s="54" t="n">
        <v>212522538</v>
      </c>
      <c r="B265" s="54" t="inlineStr">
        <is>
          <t>VIVO</t>
        </is>
      </c>
      <c r="C265" s="54" t="n">
        <v>15998069442</v>
      </c>
      <c r="D265" s="54" t="inlineStr">
        <is>
          <t>42501</t>
        </is>
      </c>
      <c r="E265" s="54" t="inlineStr">
        <is>
          <t>C02 - BRACELL CBO</t>
        </is>
      </c>
      <c r="F265" s="49" t="inlineStr">
        <is>
          <t>010219587</t>
        </is>
      </c>
      <c r="G265" s="54" t="inlineStr">
        <is>
          <t>GILVAN DEBSON ALMEIDA DA SILVA</t>
        </is>
      </c>
      <c r="H265" s="49" t="inlineStr">
        <is>
          <t>71694329437</t>
        </is>
      </c>
      <c r="I265" s="55" t="n">
        <v>46235</v>
      </c>
      <c r="J265" s="84" t="n">
        <v>39.59</v>
      </c>
      <c r="K265" s="57" t="inlineStr">
        <is>
          <t>ATIVA</t>
        </is>
      </c>
      <c r="L265" s="58" t="n">
        <v>46252</v>
      </c>
    </row>
    <row r="266">
      <c r="A266" s="54" t="n">
        <v>212522538</v>
      </c>
      <c r="B266" s="54" t="inlineStr">
        <is>
          <t>VIVO</t>
        </is>
      </c>
      <c r="C266" s="54" t="n">
        <v>67996040438</v>
      </c>
      <c r="D266" s="54" t="inlineStr">
        <is>
          <t>42401</t>
        </is>
      </c>
      <c r="E266" s="54" t="inlineStr">
        <is>
          <t>C02 - SUZANO SMA</t>
        </is>
      </c>
      <c r="F266" s="49" t="inlineStr">
        <is>
          <t>010321647</t>
        </is>
      </c>
      <c r="G266" s="54" t="inlineStr">
        <is>
          <t>GIOVANI MUNHOZ RIBEIRO</t>
        </is>
      </c>
      <c r="H266" s="49" t="inlineStr">
        <is>
          <t>35135841806</t>
        </is>
      </c>
      <c r="I266" s="55" t="n">
        <v>46235</v>
      </c>
      <c r="J266" s="84" t="n">
        <v>39.59</v>
      </c>
      <c r="K266" s="57" t="inlineStr">
        <is>
          <t>ATIVA</t>
        </is>
      </c>
      <c r="L266" s="58" t="n">
        <v>46252</v>
      </c>
    </row>
    <row r="267">
      <c r="A267" s="54" t="n">
        <v>212522538</v>
      </c>
      <c r="B267" s="54" t="inlineStr">
        <is>
          <t>VIVO</t>
        </is>
      </c>
      <c r="C267" s="54" t="n">
        <v>15997532557</v>
      </c>
      <c r="D267" s="54" t="inlineStr">
        <is>
          <t>41500</t>
        </is>
      </c>
      <c r="E267" s="54" t="inlineStr">
        <is>
          <t>GESTAO OP BRACELL ITATINGA</t>
        </is>
      </c>
      <c r="F267" s="62" t="inlineStr">
        <is>
          <t>010319260</t>
        </is>
      </c>
      <c r="G267" s="54" t="inlineStr">
        <is>
          <t>GIOVANNA VITORIA CEZAR PEDRO</t>
        </is>
      </c>
      <c r="H267" s="49" t="inlineStr">
        <is>
          <t>35967138897</t>
        </is>
      </c>
      <c r="I267" s="55" t="n">
        <v>46235</v>
      </c>
      <c r="J267" s="84" t="n">
        <v>39.59</v>
      </c>
      <c r="K267" s="57" t="inlineStr">
        <is>
          <t>ATIVA</t>
        </is>
      </c>
      <c r="L267" s="58" t="n">
        <v>46252</v>
      </c>
    </row>
    <row r="268">
      <c r="A268" s="54" t="n">
        <v>212522538</v>
      </c>
      <c r="B268" s="54" t="inlineStr">
        <is>
          <t>VIVO</t>
        </is>
      </c>
      <c r="C268" s="54" t="n">
        <v>67999377642</v>
      </c>
      <c r="D268" s="54" t="n">
        <v>41601</v>
      </c>
      <c r="E268" s="54" t="inlineStr">
        <is>
          <t>C03 - EUCATEX ITATINGA</t>
        </is>
      </c>
      <c r="F268" s="49" t="inlineStr">
        <is>
          <t>010322689</t>
        </is>
      </c>
      <c r="G268" s="49" t="inlineStr">
        <is>
          <t>GUILHERME HENRIQUE DO NASCIMENTO</t>
        </is>
      </c>
      <c r="H268" s="49" t="inlineStr">
        <is>
          <t>40799971839</t>
        </is>
      </c>
      <c r="I268" s="55" t="n">
        <v>46235</v>
      </c>
      <c r="J268" s="84" t="n">
        <v>39.59</v>
      </c>
      <c r="K268" s="54" t="inlineStr">
        <is>
          <t>ATIVA</t>
        </is>
      </c>
      <c r="L268" s="58" t="n">
        <v>46252</v>
      </c>
    </row>
    <row r="269">
      <c r="A269" s="54" t="n">
        <v>212522538</v>
      </c>
      <c r="B269" s="54" t="inlineStr">
        <is>
          <t>VIVO</t>
        </is>
      </c>
      <c r="C269" s="54" t="n">
        <v>15996728765</v>
      </c>
      <c r="D269" s="54" t="n">
        <v>42550</v>
      </c>
      <c r="E269" s="68" t="inlineStr">
        <is>
          <t>C02 - SUZANO CBO</t>
        </is>
      </c>
      <c r="F269" s="49" t="inlineStr">
        <is>
          <t>FROTA</t>
        </is>
      </c>
      <c r="G269" s="68" t="inlineStr">
        <is>
          <t>FROTA SEM ID</t>
        </is>
      </c>
      <c r="H269" s="49" t="n"/>
      <c r="I269" s="55" t="n">
        <v>46235</v>
      </c>
      <c r="J269" s="84" t="n">
        <v>39.59</v>
      </c>
      <c r="K269" s="68" t="inlineStr">
        <is>
          <t>VERIFICAR</t>
        </is>
      </c>
      <c r="L269" s="58" t="n">
        <v>46252</v>
      </c>
    </row>
    <row r="270">
      <c r="A270" s="54" t="n">
        <v>212522538</v>
      </c>
      <c r="B270" s="54" t="inlineStr">
        <is>
          <t>VIVO</t>
        </is>
      </c>
      <c r="C270" s="54" t="n">
        <v>15997575374</v>
      </c>
      <c r="D270" s="54" t="n">
        <v>41601</v>
      </c>
      <c r="E270" s="54" t="inlineStr">
        <is>
          <t>C03 - EUCATEX ITATINGA</t>
        </is>
      </c>
      <c r="F270" s="49" t="inlineStr">
        <is>
          <t>010322689</t>
        </is>
      </c>
      <c r="G270" s="54" t="inlineStr">
        <is>
          <t>GUILHERME HENRIQUE DO NASCIMENTO</t>
        </is>
      </c>
      <c r="H270" s="49" t="inlineStr">
        <is>
          <t>40799971839</t>
        </is>
      </c>
      <c r="I270" s="55" t="n">
        <v>46235</v>
      </c>
      <c r="J270" s="84" t="n">
        <v>39.59</v>
      </c>
      <c r="K270" s="54" t="inlineStr">
        <is>
          <t>ATIVA</t>
        </is>
      </c>
      <c r="L270" s="58" t="n">
        <v>46252</v>
      </c>
    </row>
    <row r="271">
      <c r="A271" s="54" t="inlineStr">
        <is>
          <t>71768171</t>
        </is>
      </c>
      <c r="B271" s="54" t="inlineStr">
        <is>
          <t>TIM</t>
        </is>
      </c>
      <c r="C271" s="54" t="inlineStr">
        <is>
          <t>15981470089</t>
        </is>
      </c>
      <c r="D271" s="54" t="inlineStr">
        <is>
          <t>52401</t>
        </is>
      </c>
      <c r="E271" s="54" t="inlineStr">
        <is>
          <t>C14 - KLABIN JAGUARIAIVA</t>
        </is>
      </c>
      <c r="F271" s="62" t="inlineStr">
        <is>
          <t>701001293</t>
        </is>
      </c>
      <c r="G271" s="54" t="inlineStr">
        <is>
          <t>JUNIO MIRANDA DA SILVA</t>
        </is>
      </c>
      <c r="H271" s="49" t="inlineStr">
        <is>
          <t>06534571978</t>
        </is>
      </c>
      <c r="I271" s="55" t="n">
        <v>46235</v>
      </c>
      <c r="J271" s="84" t="n">
        <v>32</v>
      </c>
      <c r="K271" s="57" t="inlineStr">
        <is>
          <t>ATIVA</t>
        </is>
      </c>
      <c r="L271" s="58" t="n">
        <v>46252</v>
      </c>
    </row>
    <row r="272">
      <c r="A272" s="54" t="n">
        <v>212522538</v>
      </c>
      <c r="B272" s="54" t="inlineStr">
        <is>
          <t>VIVO</t>
        </is>
      </c>
      <c r="C272" s="54" t="n">
        <v>15997316049</v>
      </c>
      <c r="D272" s="54" t="n">
        <v>2001</v>
      </c>
      <c r="E272" s="54" t="inlineStr">
        <is>
          <t>OFICINA MATRIZ</t>
        </is>
      </c>
      <c r="F272" s="49" t="inlineStr">
        <is>
          <t>00048901723</t>
        </is>
      </c>
      <c r="G272" s="54" t="inlineStr">
        <is>
          <t>Gustavo Martins</t>
        </is>
      </c>
      <c r="H272" s="49" t="inlineStr">
        <is>
          <t>48901723000198</t>
        </is>
      </c>
      <c r="I272" s="55" t="n">
        <v>46235</v>
      </c>
      <c r="J272" s="84" t="n">
        <v>39.59</v>
      </c>
      <c r="K272" s="54" t="inlineStr">
        <is>
          <t>ATIVA</t>
        </is>
      </c>
      <c r="L272" s="58" t="n">
        <v>46252</v>
      </c>
    </row>
    <row r="273">
      <c r="A273" s="54" t="n">
        <v>212522538</v>
      </c>
      <c r="B273" s="54" t="inlineStr">
        <is>
          <t>VIVO</t>
        </is>
      </c>
      <c r="C273" s="54" t="n">
        <v>15996283391</v>
      </c>
      <c r="D273" s="54" t="inlineStr">
        <is>
          <t>12</t>
        </is>
      </c>
      <c r="E273" s="54" t="inlineStr">
        <is>
          <t>SUPRIMENTOS E FROTAS</t>
        </is>
      </c>
      <c r="F273" s="49" t="inlineStr">
        <is>
          <t>010617971</t>
        </is>
      </c>
      <c r="G273" s="54" t="inlineStr">
        <is>
          <t>HUGO QUEIROZ VIEIRA PRANCHES</t>
        </is>
      </c>
      <c r="H273" s="49" t="inlineStr">
        <is>
          <t>56830897866</t>
        </is>
      </c>
      <c r="I273" s="55" t="n">
        <v>46235</v>
      </c>
      <c r="J273" s="84" t="n">
        <v>39.59</v>
      </c>
      <c r="K273" s="57" t="inlineStr">
        <is>
          <t>ATIVA</t>
        </is>
      </c>
      <c r="L273" s="58" t="n">
        <v>46252</v>
      </c>
    </row>
    <row r="274">
      <c r="A274" s="54" t="inlineStr">
        <is>
          <t>71768171</t>
        </is>
      </c>
      <c r="B274" s="54" t="inlineStr">
        <is>
          <t>TIM</t>
        </is>
      </c>
      <c r="C274" s="54" t="inlineStr">
        <is>
          <t>15981632377</t>
        </is>
      </c>
      <c r="D274" s="54" t="inlineStr">
        <is>
          <t>52401</t>
        </is>
      </c>
      <c r="E274" s="54" t="inlineStr">
        <is>
          <t>C14 - KLABIN JAGUARIAIVA</t>
        </is>
      </c>
      <c r="F274" s="49" t="n"/>
      <c r="G274" s="54" t="inlineStr">
        <is>
          <t>Geovane Da Conceicao</t>
        </is>
      </c>
      <c r="H274" s="49" t="n"/>
      <c r="I274" s="55" t="n">
        <v>46235</v>
      </c>
      <c r="J274" s="84" t="n">
        <v>37.6</v>
      </c>
      <c r="K274" s="54" t="inlineStr">
        <is>
          <t>VERIFICAR</t>
        </is>
      </c>
      <c r="L274" s="58" t="n">
        <v>46252</v>
      </c>
    </row>
    <row r="275">
      <c r="A275" s="54" t="inlineStr">
        <is>
          <t>71768171</t>
        </is>
      </c>
      <c r="B275" s="54" t="inlineStr">
        <is>
          <t>TIM</t>
        </is>
      </c>
      <c r="C275" s="54" t="inlineStr">
        <is>
          <t>15981632353</t>
        </is>
      </c>
      <c r="D275" s="54" t="inlineStr">
        <is>
          <t>51201</t>
        </is>
      </c>
      <c r="E275" s="54" t="inlineStr">
        <is>
          <t>C12 - KLABIN IBAITI</t>
        </is>
      </c>
      <c r="F275" s="49" t="n"/>
      <c r="G275" s="54" t="inlineStr">
        <is>
          <t>Geovane Dos Santos</t>
        </is>
      </c>
      <c r="H275" s="49" t="n"/>
      <c r="I275" s="55" t="n">
        <v>46235</v>
      </c>
      <c r="J275" s="84" t="n">
        <v>39.24</v>
      </c>
      <c r="K275" s="54" t="inlineStr">
        <is>
          <t>VERIFICAR</t>
        </is>
      </c>
      <c r="L275" s="58" t="n">
        <v>46252</v>
      </c>
    </row>
    <row r="276">
      <c r="A276" s="54" t="n">
        <v>212522538</v>
      </c>
      <c r="B276" s="54" t="inlineStr">
        <is>
          <t>VIVO</t>
        </is>
      </c>
      <c r="C276" s="54" t="n">
        <v>15996841688</v>
      </c>
      <c r="D276" s="54" t="inlineStr">
        <is>
          <t>53290</t>
        </is>
      </c>
      <c r="E276" s="54" t="inlineStr">
        <is>
          <t>C08 - CMPC SAO GABRIEL MECANIZADO</t>
        </is>
      </c>
      <c r="F276" s="49" t="inlineStr">
        <is>
          <t>FORA SIGO</t>
        </is>
      </c>
      <c r="G276" s="54" t="inlineStr">
        <is>
          <t>IAGO PINTO DE QUADROS</t>
        </is>
      </c>
      <c r="H276" s="49" t="n"/>
      <c r="I276" s="55" t="n">
        <v>46235</v>
      </c>
      <c r="J276" s="84" t="n">
        <v>39.59</v>
      </c>
      <c r="K276" s="54" t="inlineStr">
        <is>
          <t>ATIVA</t>
        </is>
      </c>
      <c r="L276" s="58" t="n">
        <v>46252</v>
      </c>
    </row>
    <row r="277">
      <c r="A277" s="54" t="inlineStr">
        <is>
          <t>71768171</t>
        </is>
      </c>
      <c r="B277" s="54" t="inlineStr">
        <is>
          <t>TIM</t>
        </is>
      </c>
      <c r="C277" s="54" t="inlineStr">
        <is>
          <t>15981588389</t>
        </is>
      </c>
      <c r="D277" s="54" t="inlineStr">
        <is>
          <t>51201</t>
        </is>
      </c>
      <c r="E277" s="54" t="inlineStr">
        <is>
          <t>C12 - KLABIN IBAITI</t>
        </is>
      </c>
      <c r="F277" s="49" t="n"/>
      <c r="G277" s="54" t="inlineStr">
        <is>
          <t>Gestao Adm Ibaiti</t>
        </is>
      </c>
      <c r="H277" s="49" t="n"/>
      <c r="I277" s="55" t="n">
        <v>46235</v>
      </c>
      <c r="J277" s="84" t="n">
        <v>39.24</v>
      </c>
      <c r="K277" s="54" t="inlineStr">
        <is>
          <t>VERIFICAR</t>
        </is>
      </c>
      <c r="L277" s="58" t="n">
        <v>46252</v>
      </c>
    </row>
    <row r="278">
      <c r="A278" s="54" t="n">
        <v>212522538</v>
      </c>
      <c r="B278" s="54" t="inlineStr">
        <is>
          <t>VIVO</t>
        </is>
      </c>
      <c r="C278" s="54" t="n">
        <v>15997426999</v>
      </c>
      <c r="D278" s="54" t="inlineStr">
        <is>
          <t>41201</t>
        </is>
      </c>
      <c r="E278" s="54" t="inlineStr">
        <is>
          <t>C05 - BRACELL DUARTINA</t>
        </is>
      </c>
      <c r="F278" s="49" t="inlineStr">
        <is>
          <t>010319959</t>
        </is>
      </c>
      <c r="G278" s="54" t="inlineStr">
        <is>
          <t>IGOR JONAS SOLIS</t>
        </is>
      </c>
      <c r="H278" s="49" t="inlineStr">
        <is>
          <t>38625070841</t>
        </is>
      </c>
      <c r="I278" s="55" t="n">
        <v>46235</v>
      </c>
      <c r="J278" s="84" t="n">
        <v>39.59</v>
      </c>
      <c r="K278" s="57" t="inlineStr">
        <is>
          <t>ATIVA</t>
        </is>
      </c>
      <c r="L278" s="58" t="n">
        <v>46252</v>
      </c>
    </row>
    <row r="279">
      <c r="A279" s="54" t="n">
        <v>212522538</v>
      </c>
      <c r="B279" s="54" t="inlineStr">
        <is>
          <t>VIVO</t>
        </is>
      </c>
      <c r="C279" s="54" t="n">
        <v>15996621763</v>
      </c>
      <c r="D279" s="54" t="n">
        <v>41600</v>
      </c>
      <c r="E279" s="54" t="inlineStr">
        <is>
          <t>GESTAO OP EUCATEX ITATINGA</t>
        </is>
      </c>
      <c r="F279" s="49" t="inlineStr">
        <is>
          <t>00060970821</t>
        </is>
      </c>
      <c r="G279" s="54" t="inlineStr">
        <is>
          <t>Igor Teixeira</t>
        </is>
      </c>
      <c r="H279" s="49" t="inlineStr">
        <is>
          <t>60970821000182</t>
        </is>
      </c>
      <c r="I279" s="55" t="n">
        <v>46235</v>
      </c>
      <c r="J279" s="84" t="n">
        <v>39.59</v>
      </c>
      <c r="K279" s="54" t="inlineStr">
        <is>
          <t>ATIVA</t>
        </is>
      </c>
      <c r="L279" s="58" t="n">
        <v>46252</v>
      </c>
    </row>
    <row r="280">
      <c r="A280" s="54" t="n">
        <v>212522538</v>
      </c>
      <c r="B280" s="54" t="inlineStr">
        <is>
          <t>VIVO</t>
        </is>
      </c>
      <c r="C280" s="63" t="n">
        <v>15991688159</v>
      </c>
      <c r="D280" s="63" t="n">
        <v>91006</v>
      </c>
      <c r="E280" s="63" t="inlineStr">
        <is>
          <t>DIRETORIA EXECUTIVA</t>
        </is>
      </c>
      <c r="F280" s="64" t="inlineStr">
        <is>
          <t>FAMILIA</t>
        </is>
      </c>
      <c r="G280" s="65" t="inlineStr">
        <is>
          <t>Irineia Aparecida Valvassori De Almeida</t>
        </is>
      </c>
      <c r="H280" s="49" t="n"/>
      <c r="I280" s="55" t="n">
        <v>46235</v>
      </c>
      <c r="J280" s="84" t="n">
        <v>149.98</v>
      </c>
      <c r="K280" s="54" t="inlineStr">
        <is>
          <t>ATIVA</t>
        </is>
      </c>
      <c r="L280" s="58" t="n">
        <v>46252</v>
      </c>
    </row>
    <row r="281">
      <c r="A281" s="54" t="n">
        <v>212522538</v>
      </c>
      <c r="B281" s="54" t="inlineStr">
        <is>
          <t>VIVO</t>
        </is>
      </c>
      <c r="C281" s="54" t="n">
        <v>51998351373</v>
      </c>
      <c r="D281" s="54" t="inlineStr">
        <is>
          <t>53290</t>
        </is>
      </c>
      <c r="E281" s="54" t="inlineStr">
        <is>
          <t>C08 - CMPC SAO GABRIEL MECANIZADO</t>
        </is>
      </c>
      <c r="F281" s="49" t="inlineStr">
        <is>
          <t>410100195</t>
        </is>
      </c>
      <c r="G281" s="54" t="inlineStr">
        <is>
          <t>IRINEU RODRIGUES PENTEADO</t>
        </is>
      </c>
      <c r="H281" s="49" t="inlineStr">
        <is>
          <t>81347871004</t>
        </is>
      </c>
      <c r="I281" s="55" t="n">
        <v>46235</v>
      </c>
      <c r="J281" s="84" t="n">
        <v>39.59</v>
      </c>
      <c r="K281" s="57" t="inlineStr">
        <is>
          <t>ATIVA</t>
        </is>
      </c>
      <c r="L281" s="58" t="n">
        <v>46252</v>
      </c>
    </row>
    <row r="282">
      <c r="A282" s="54" t="inlineStr">
        <is>
          <t>71768171</t>
        </is>
      </c>
      <c r="B282" s="54" t="inlineStr">
        <is>
          <t>TIM</t>
        </is>
      </c>
      <c r="C282" s="54" t="inlineStr">
        <is>
          <t>15981820460</t>
        </is>
      </c>
      <c r="D282" s="54" t="inlineStr">
        <is>
          <t>41301</t>
        </is>
      </c>
      <c r="E282" s="54" t="inlineStr">
        <is>
          <t>C05 - SUZANO LENCOIS PAULISTA</t>
        </is>
      </c>
      <c r="F282" s="49" t="n"/>
      <c r="G282" s="54" t="inlineStr">
        <is>
          <t>GUILHERME BENEDETTI MENDES DA CRUZ</t>
        </is>
      </c>
      <c r="H282" s="49" t="inlineStr">
        <is>
          <t>46267224821</t>
        </is>
      </c>
      <c r="I282" s="55" t="n">
        <v>46235</v>
      </c>
      <c r="J282" s="84" t="n">
        <v>35</v>
      </c>
      <c r="K282" s="54" t="inlineStr">
        <is>
          <t>DESLIGADO</t>
        </is>
      </c>
      <c r="L282" s="58" t="n">
        <v>46252</v>
      </c>
    </row>
    <row r="283">
      <c r="A283" s="54" t="n">
        <v>212522538</v>
      </c>
      <c r="B283" s="54" t="inlineStr">
        <is>
          <t>VIVO</t>
        </is>
      </c>
      <c r="C283" s="54" t="n">
        <v>15996045880</v>
      </c>
      <c r="D283" s="54" t="n">
        <v>416</v>
      </c>
      <c r="E283" s="54" t="inlineStr">
        <is>
          <t>EUCATEX ITATINGA</t>
        </is>
      </c>
      <c r="F283" s="49" t="inlineStr">
        <is>
          <t>FORA SIGO</t>
        </is>
      </c>
      <c r="G283" s="54" t="inlineStr">
        <is>
          <t>Isabelli Aparecida de Oliveira</t>
        </is>
      </c>
      <c r="H283" s="49" t="n"/>
      <c r="I283" s="55" t="n">
        <v>46235</v>
      </c>
      <c r="J283" s="84" t="n">
        <v>39.59</v>
      </c>
      <c r="K283" s="54" t="inlineStr">
        <is>
          <t>ATIVA</t>
        </is>
      </c>
      <c r="L283" s="58" t="n">
        <v>46252</v>
      </c>
    </row>
    <row r="284">
      <c r="A284" s="54" t="n">
        <v>212522538</v>
      </c>
      <c r="B284" s="54" t="inlineStr">
        <is>
          <t>VIVO</t>
        </is>
      </c>
      <c r="C284" s="54" t="n">
        <v>15996198122</v>
      </c>
      <c r="D284" s="54" t="inlineStr">
        <is>
          <t>2140</t>
        </is>
      </c>
      <c r="E284" s="54" t="inlineStr">
        <is>
          <t>SSMA SP2</t>
        </is>
      </c>
      <c r="F284" s="49" t="inlineStr">
        <is>
          <t>010816212</t>
        </is>
      </c>
      <c r="G284" s="54" t="inlineStr">
        <is>
          <t>ISLENE REGINA DINIZ</t>
        </is>
      </c>
      <c r="H284" s="49" t="inlineStr">
        <is>
          <t>20254484816</t>
        </is>
      </c>
      <c r="I284" s="55" t="n">
        <v>46235</v>
      </c>
      <c r="J284" s="84" t="n">
        <v>39.59</v>
      </c>
      <c r="K284" s="57" t="inlineStr">
        <is>
          <t>ATIVA</t>
        </is>
      </c>
      <c r="L284" s="58" t="n">
        <v>46252</v>
      </c>
    </row>
    <row r="285">
      <c r="A285" s="54" t="n">
        <v>212522538</v>
      </c>
      <c r="B285" s="54" t="inlineStr">
        <is>
          <t>VIVO</t>
        </is>
      </c>
      <c r="C285" s="54" t="n">
        <v>15997708264</v>
      </c>
      <c r="D285" s="54" t="n">
        <v>41501</v>
      </c>
      <c r="E285" s="54" t="inlineStr">
        <is>
          <t>C03 - BRACELL ITATINGA</t>
        </is>
      </c>
      <c r="F285" s="49" t="n"/>
      <c r="G285" s="49" t="inlineStr">
        <is>
          <t>ITATINGA - VERIFICAR</t>
        </is>
      </c>
      <c r="H285" s="49" t="n"/>
      <c r="I285" s="55" t="n">
        <v>46235</v>
      </c>
      <c r="J285" s="84" t="n">
        <v>39.59</v>
      </c>
      <c r="K285" s="54" t="inlineStr">
        <is>
          <t>VERIFICAR</t>
        </is>
      </c>
      <c r="L285" s="58" t="n">
        <v>46252</v>
      </c>
    </row>
    <row r="286">
      <c r="A286" s="54" t="inlineStr">
        <is>
          <t>71768171</t>
        </is>
      </c>
      <c r="B286" s="54" t="inlineStr">
        <is>
          <t>TIM</t>
        </is>
      </c>
      <c r="C286" s="54" t="inlineStr">
        <is>
          <t>16982220091</t>
        </is>
      </c>
      <c r="D286" s="54" t="inlineStr">
        <is>
          <t>52401</t>
        </is>
      </c>
      <c r="E286" s="54" t="inlineStr">
        <is>
          <t>C14 - KLABIN JAGUARIAIVA</t>
        </is>
      </c>
      <c r="F286" s="62" t="inlineStr">
        <is>
          <t>701000654</t>
        </is>
      </c>
      <c r="G286" s="54" t="inlineStr">
        <is>
          <t>HAROLDO SOARES CAMARGO</t>
        </is>
      </c>
      <c r="H286" s="49" t="inlineStr">
        <is>
          <t>45794973846</t>
        </is>
      </c>
      <c r="I286" s="55" t="n">
        <v>46235</v>
      </c>
      <c r="J286" s="84" t="n">
        <v>41.27</v>
      </c>
      <c r="K286" s="57" t="inlineStr">
        <is>
          <t>ATIVA</t>
        </is>
      </c>
      <c r="L286" s="58" t="n">
        <v>46252</v>
      </c>
    </row>
    <row r="287">
      <c r="A287" s="54" t="inlineStr">
        <is>
          <t>71768171</t>
        </is>
      </c>
      <c r="B287" s="54" t="inlineStr">
        <is>
          <t>TIM</t>
        </is>
      </c>
      <c r="C287" s="54" t="inlineStr">
        <is>
          <t>16982220076</t>
        </is>
      </c>
      <c r="D287" s="54" t="inlineStr">
        <is>
          <t>51401</t>
        </is>
      </c>
      <c r="E287" s="54" t="inlineStr">
        <is>
          <t>C13 - KLABIN PR ESTEIRA</t>
        </is>
      </c>
      <c r="F287" s="49" t="inlineStr">
        <is>
          <t>701002211</t>
        </is>
      </c>
      <c r="G287" s="54" t="inlineStr">
        <is>
          <t>HELITON FERNANDO PEREIRA</t>
        </is>
      </c>
      <c r="H287" s="49" t="inlineStr">
        <is>
          <t>08608646935</t>
        </is>
      </c>
      <c r="I287" s="55" t="n">
        <v>46235</v>
      </c>
      <c r="J287" s="84" t="n">
        <v>41.27</v>
      </c>
      <c r="K287" s="54" t="inlineStr">
        <is>
          <t>DESLIGADO</t>
        </is>
      </c>
      <c r="L287" s="58" t="n">
        <v>46252</v>
      </c>
    </row>
    <row r="288">
      <c r="A288" s="54" t="n">
        <v>212522538</v>
      </c>
      <c r="B288" s="54" t="inlineStr">
        <is>
          <t>VIVO</t>
        </is>
      </c>
      <c r="C288" s="54" t="n">
        <v>15997496071</v>
      </c>
      <c r="D288" s="54" t="inlineStr">
        <is>
          <t>41200</t>
        </is>
      </c>
      <c r="E288" s="54" t="inlineStr">
        <is>
          <t>GESTAO OP DUARTINA</t>
        </is>
      </c>
      <c r="F288" s="49" t="n">
        <v>10321718</v>
      </c>
      <c r="G288" s="54" t="inlineStr">
        <is>
          <t>IVAM LEONARDO FERREIRA PINHEIRO</t>
        </is>
      </c>
      <c r="H288" s="49" t="inlineStr">
        <is>
          <t>38703445801</t>
        </is>
      </c>
      <c r="I288" s="55" t="n">
        <v>46235</v>
      </c>
      <c r="J288" s="84" t="n">
        <v>39.59</v>
      </c>
      <c r="K288" s="57" t="inlineStr">
        <is>
          <t>ATIVA</t>
        </is>
      </c>
      <c r="L288" s="58" t="n">
        <v>46252</v>
      </c>
    </row>
    <row r="289">
      <c r="A289" s="54" t="n">
        <v>212522538</v>
      </c>
      <c r="B289" s="54" t="inlineStr">
        <is>
          <t>VIVO</t>
        </is>
      </c>
      <c r="C289" s="54" t="n">
        <v>15998476204</v>
      </c>
      <c r="D289" s="54" t="n">
        <v>32701</v>
      </c>
      <c r="E289" s="54" t="inlineStr">
        <is>
          <t>C01 - SUZANO PLANTIO AGUA CLARA</t>
        </is>
      </c>
      <c r="F289" s="54" t="n">
        <v>210106757</v>
      </c>
      <c r="G289" s="54" t="inlineStr">
        <is>
          <t>IVAN CRUZ DOS SANTOS</t>
        </is>
      </c>
      <c r="H289" s="49" t="inlineStr">
        <is>
          <t>86044035581</t>
        </is>
      </c>
      <c r="I289" s="55" t="n">
        <v>46235</v>
      </c>
      <c r="J289" s="84" t="n">
        <v>39.59</v>
      </c>
      <c r="K289" s="57" t="inlineStr">
        <is>
          <t>ATIVA</t>
        </is>
      </c>
      <c r="L289" s="58" t="n">
        <v>46252</v>
      </c>
    </row>
    <row r="290">
      <c r="A290" s="54" t="n">
        <v>212522538</v>
      </c>
      <c r="B290" s="54" t="inlineStr">
        <is>
          <t>VIVO</t>
        </is>
      </c>
      <c r="C290" s="54" t="n">
        <v>13996052568</v>
      </c>
      <c r="D290" s="54" t="inlineStr">
        <is>
          <t>11</t>
        </is>
      </c>
      <c r="E290" s="54" t="inlineStr">
        <is>
          <t>CONTROLADORIA</t>
        </is>
      </c>
      <c r="F290" s="49" t="inlineStr">
        <is>
          <t>010621432</t>
        </is>
      </c>
      <c r="G290" s="54" t="inlineStr">
        <is>
          <t>IVANA GABRIELA ALVES DA CRUZ</t>
        </is>
      </c>
      <c r="H290" s="49" t="inlineStr">
        <is>
          <t>22646394829</t>
        </is>
      </c>
      <c r="I290" s="55" t="n">
        <v>46235</v>
      </c>
      <c r="J290" s="84" t="n">
        <v>39.59</v>
      </c>
      <c r="K290" s="57" t="inlineStr">
        <is>
          <t>ATIVA</t>
        </is>
      </c>
      <c r="L290" s="58" t="n">
        <v>46252</v>
      </c>
    </row>
    <row r="291">
      <c r="A291" s="54" t="n">
        <v>212522538</v>
      </c>
      <c r="B291" s="54" t="inlineStr">
        <is>
          <t>VIVO</t>
        </is>
      </c>
      <c r="C291" s="54" t="n">
        <v>15996915115</v>
      </c>
      <c r="D291" s="54" t="inlineStr">
        <is>
          <t>41201</t>
        </is>
      </c>
      <c r="E291" s="54" t="inlineStr">
        <is>
          <t>C05 - BRACELL DUARTINA</t>
        </is>
      </c>
      <c r="F291" s="49" t="inlineStr">
        <is>
          <t>010315753</t>
        </is>
      </c>
      <c r="G291" s="54" t="inlineStr">
        <is>
          <t>IVANILDA BATISTA DOS SANTOS</t>
        </is>
      </c>
      <c r="H291" s="49" t="inlineStr">
        <is>
          <t>33224044802</t>
        </is>
      </c>
      <c r="I291" s="55" t="n">
        <v>46235</v>
      </c>
      <c r="J291" s="84" t="n">
        <v>39.59</v>
      </c>
      <c r="K291" s="57" t="inlineStr">
        <is>
          <t>ATIVA</t>
        </is>
      </c>
      <c r="L291" s="58" t="n">
        <v>46252</v>
      </c>
    </row>
    <row r="292">
      <c r="A292" s="54" t="n">
        <v>212522538</v>
      </c>
      <c r="B292" s="54" t="inlineStr">
        <is>
          <t>VIVO</t>
        </is>
      </c>
      <c r="C292" s="54" t="n">
        <v>15996482938</v>
      </c>
      <c r="D292" s="54" t="inlineStr">
        <is>
          <t>41201</t>
        </is>
      </c>
      <c r="E292" s="54" t="inlineStr">
        <is>
          <t>C05 - BRACELL DUARTINA</t>
        </is>
      </c>
      <c r="F292" s="49" t="inlineStr">
        <is>
          <t>010323047</t>
        </is>
      </c>
      <c r="G292" s="54" t="inlineStr">
        <is>
          <t>JACONIAS MATIAS SANTOS</t>
        </is>
      </c>
      <c r="H292" s="49" t="inlineStr">
        <is>
          <t>04813444113</t>
        </is>
      </c>
      <c r="I292" s="55" t="n">
        <v>46235</v>
      </c>
      <c r="J292" s="84" t="n">
        <v>39.59</v>
      </c>
      <c r="K292" s="57" t="inlineStr">
        <is>
          <t>ATIVA</t>
        </is>
      </c>
      <c r="L292" s="58" t="n">
        <v>46252</v>
      </c>
    </row>
    <row r="293">
      <c r="A293" s="54" t="inlineStr">
        <is>
          <t>71768171</t>
        </is>
      </c>
      <c r="B293" s="54" t="inlineStr">
        <is>
          <t>TIM</t>
        </is>
      </c>
      <c r="C293" s="54" t="inlineStr">
        <is>
          <t>15981860124</t>
        </is>
      </c>
      <c r="D293" s="54" t="inlineStr">
        <is>
          <t>01.09.01.102.01</t>
        </is>
      </c>
      <c r="E293" s="54" t="inlineStr">
        <is>
          <t>CONTRATO 013 - KLABIN CURIUVA</t>
        </is>
      </c>
      <c r="F293" s="49" t="inlineStr">
        <is>
          <t>701000225</t>
        </is>
      </c>
      <c r="G293" s="54" t="inlineStr">
        <is>
          <t>ISAAC RIBEIRO DOS SANTOS</t>
        </is>
      </c>
      <c r="H293" s="49" t="inlineStr">
        <is>
          <t>02405007924</t>
        </is>
      </c>
      <c r="I293" s="55" t="n">
        <v>46235</v>
      </c>
      <c r="J293" s="84" t="n">
        <v>35</v>
      </c>
      <c r="K293" s="54" t="inlineStr">
        <is>
          <t>DESLIGADO</t>
        </is>
      </c>
      <c r="L293" s="58" t="n">
        <v>46252</v>
      </c>
    </row>
    <row r="294">
      <c r="A294" s="54" t="n">
        <v>212522538</v>
      </c>
      <c r="B294" s="54" t="inlineStr">
        <is>
          <t>VIVO</t>
        </is>
      </c>
      <c r="C294" s="54" t="n">
        <v>15997389809</v>
      </c>
      <c r="D294" s="54" t="inlineStr">
        <is>
          <t>41300</t>
        </is>
      </c>
      <c r="E294" s="54" t="inlineStr">
        <is>
          <t>GESTAO OP SUZANO LPTA</t>
        </is>
      </c>
      <c r="F294" s="49" t="inlineStr">
        <is>
          <t>010319068</t>
        </is>
      </c>
      <c r="G294" s="54" t="inlineStr">
        <is>
          <t>JAQUELINE APARECIDA SANTOS</t>
        </is>
      </c>
      <c r="H294" s="49" t="inlineStr">
        <is>
          <t>50474248801</t>
        </is>
      </c>
      <c r="I294" s="55" t="n">
        <v>46235</v>
      </c>
      <c r="J294" s="84" t="n">
        <v>39.59</v>
      </c>
      <c r="K294" s="57" t="inlineStr">
        <is>
          <t>ATIVA</t>
        </is>
      </c>
      <c r="L294" s="58" t="n">
        <v>46252</v>
      </c>
    </row>
    <row r="295">
      <c r="A295" s="54" t="inlineStr">
        <is>
          <t>71768171</t>
        </is>
      </c>
      <c r="B295" s="54" t="inlineStr">
        <is>
          <t>TIM</t>
        </is>
      </c>
      <c r="C295" s="54" t="inlineStr">
        <is>
          <t>15981632304</t>
        </is>
      </c>
      <c r="D295" s="54" t="inlineStr">
        <is>
          <t>42501</t>
        </is>
      </c>
      <c r="E295" s="54" t="inlineStr">
        <is>
          <t>C02 - BRACELL CBO</t>
        </is>
      </c>
      <c r="F295" s="49" t="inlineStr">
        <is>
          <t>10201005</t>
        </is>
      </c>
      <c r="G295" s="54" t="inlineStr">
        <is>
          <t>Isael Marcio Vaz</t>
        </is>
      </c>
      <c r="H295" s="49" t="n"/>
      <c r="I295" s="55" t="n">
        <v>46235</v>
      </c>
      <c r="J295" s="84" t="n">
        <v>39.24</v>
      </c>
      <c r="K295" s="54" t="inlineStr">
        <is>
          <t>VERIFICAR</t>
        </is>
      </c>
      <c r="L295" s="58" t="n">
        <v>46252</v>
      </c>
    </row>
    <row r="296">
      <c r="A296" s="54" t="inlineStr">
        <is>
          <t>71768171</t>
        </is>
      </c>
      <c r="B296" s="54" t="inlineStr">
        <is>
          <t>TIM</t>
        </is>
      </c>
      <c r="C296" s="54" t="inlineStr">
        <is>
          <t>15981840258</t>
        </is>
      </c>
      <c r="D296" s="54" t="inlineStr">
        <is>
          <t>52301</t>
        </is>
      </c>
      <c r="E296" s="54" t="inlineStr">
        <is>
          <t>C16 - KLABIN ITAPIRAPUA</t>
        </is>
      </c>
      <c r="F296" s="49" t="n"/>
      <c r="G296" s="54" t="inlineStr">
        <is>
          <t>ISAEL PINTO DE FRANCA</t>
        </is>
      </c>
      <c r="H296" s="49" t="inlineStr">
        <is>
          <t>32918599875</t>
        </is>
      </c>
      <c r="I296" s="55" t="n">
        <v>46235</v>
      </c>
      <c r="J296" s="84" t="n">
        <v>38</v>
      </c>
      <c r="K296" s="57" t="inlineStr">
        <is>
          <t>ATIVA</t>
        </is>
      </c>
      <c r="L296" s="58" t="n">
        <v>46252</v>
      </c>
    </row>
    <row r="297">
      <c r="A297" s="54" t="n">
        <v>212522538</v>
      </c>
      <c r="B297" s="54" t="inlineStr">
        <is>
          <t>VIVO</t>
        </is>
      </c>
      <c r="C297" s="54" t="n">
        <v>15998125806</v>
      </c>
      <c r="D297" s="54" t="inlineStr">
        <is>
          <t>41301</t>
        </is>
      </c>
      <c r="E297" s="54" t="inlineStr">
        <is>
          <t>C05 - SUZANO LENCOIS PAULISTA</t>
        </is>
      </c>
      <c r="F297" s="49" t="inlineStr">
        <is>
          <t>010320328</t>
        </is>
      </c>
      <c r="G297" s="54" t="inlineStr">
        <is>
          <t>JAQUELINE FABIANA CLARO</t>
        </is>
      </c>
      <c r="H297" s="49" t="inlineStr">
        <is>
          <t>23321114844</t>
        </is>
      </c>
      <c r="I297" s="55" t="n">
        <v>46235</v>
      </c>
      <c r="J297" s="84" t="n">
        <v>39.59</v>
      </c>
      <c r="K297" s="57" t="inlineStr">
        <is>
          <t>ATIVA</t>
        </is>
      </c>
      <c r="L297" s="58" t="n">
        <v>46252</v>
      </c>
    </row>
    <row r="298">
      <c r="A298" s="54" t="n">
        <v>212522538</v>
      </c>
      <c r="B298" s="54" t="inlineStr">
        <is>
          <t>VIVO</t>
        </is>
      </c>
      <c r="C298" s="54" t="n">
        <v>15998008470</v>
      </c>
      <c r="D298" s="54" t="inlineStr">
        <is>
          <t>32200</t>
        </is>
      </c>
      <c r="E298" s="54" t="inlineStr">
        <is>
          <t>GESTAO OP AGUA CLARA</t>
        </is>
      </c>
      <c r="F298" s="49" t="inlineStr">
        <is>
          <t>210105617</t>
        </is>
      </c>
      <c r="G298" s="54" t="inlineStr">
        <is>
          <t>JEFFERSON ANTONIO CORGOZINHO</t>
        </is>
      </c>
      <c r="H298" s="49" t="inlineStr">
        <is>
          <t>06267430103</t>
        </is>
      </c>
      <c r="I298" s="55" t="n">
        <v>46235</v>
      </c>
      <c r="J298" s="84" t="n">
        <v>39.59</v>
      </c>
      <c r="K298" s="57" t="inlineStr">
        <is>
          <t>ATIVA</t>
        </is>
      </c>
      <c r="L298" s="58" t="n">
        <v>46252</v>
      </c>
    </row>
    <row r="299">
      <c r="A299" s="54" t="inlineStr">
        <is>
          <t>71768171</t>
        </is>
      </c>
      <c r="B299" s="54" t="inlineStr">
        <is>
          <t>TIM</t>
        </is>
      </c>
      <c r="C299" s="54" t="inlineStr">
        <is>
          <t>15981632338</t>
        </is>
      </c>
      <c r="D299" s="54" t="inlineStr">
        <is>
          <t>52401</t>
        </is>
      </c>
      <c r="E299" s="54" t="inlineStr">
        <is>
          <t>C14 - KLABIN JAGUARIAIVA</t>
        </is>
      </c>
      <c r="F299" s="49" t="n"/>
      <c r="G299" s="54" t="inlineStr">
        <is>
          <t>ISMAEL ALVES DE OLIVEIRA</t>
        </is>
      </c>
      <c r="H299" s="49" t="inlineStr">
        <is>
          <t>03385856990</t>
        </is>
      </c>
      <c r="I299" s="55" t="n">
        <v>46235</v>
      </c>
      <c r="J299" s="84" t="n">
        <v>39.24</v>
      </c>
      <c r="K299" s="57" t="inlineStr">
        <is>
          <t>ATIVA</t>
        </is>
      </c>
      <c r="L299" s="58" t="n">
        <v>46252</v>
      </c>
    </row>
    <row r="300">
      <c r="A300" s="54" t="n">
        <v>212522538</v>
      </c>
      <c r="B300" s="54" t="inlineStr">
        <is>
          <t>VIVO</t>
        </is>
      </c>
      <c r="C300" s="54" t="n">
        <v>15997611625</v>
      </c>
      <c r="D300" s="54" t="n">
        <v>42501</v>
      </c>
      <c r="E300" s="54" t="inlineStr">
        <is>
          <t>C02 - BRACELL CBO</t>
        </is>
      </c>
      <c r="F300" s="74" t="inlineStr">
        <is>
          <t>FROTA</t>
        </is>
      </c>
      <c r="G300" s="54" t="inlineStr">
        <is>
          <t>FROTA CBO - VERIFICAR</t>
        </is>
      </c>
      <c r="H300" s="49" t="n"/>
      <c r="I300" s="55" t="n">
        <v>46235</v>
      </c>
      <c r="J300" s="84" t="n">
        <v>39.59</v>
      </c>
      <c r="K300" s="54" t="inlineStr">
        <is>
          <t>VERIFICAR</t>
        </is>
      </c>
      <c r="L300" s="58" t="n">
        <v>46252</v>
      </c>
    </row>
    <row r="301">
      <c r="A301" s="54" t="n">
        <v>212522538</v>
      </c>
      <c r="B301" s="54" t="inlineStr">
        <is>
          <t>VIVO</t>
        </is>
      </c>
      <c r="C301" s="54" t="n">
        <v>67996019627</v>
      </c>
      <c r="D301" s="54" t="inlineStr">
        <is>
          <t>42401</t>
        </is>
      </c>
      <c r="E301" s="54" t="inlineStr">
        <is>
          <t>C02 - SUZANO SMA</t>
        </is>
      </c>
      <c r="F301" s="49" t="inlineStr">
        <is>
          <t>010322272</t>
        </is>
      </c>
      <c r="G301" s="54" t="inlineStr">
        <is>
          <t>JEFFERSON FERREIRA BECKER</t>
        </is>
      </c>
      <c r="H301" s="49" t="inlineStr">
        <is>
          <t>35574620804</t>
        </is>
      </c>
      <c r="I301" s="55" t="n">
        <v>46235</v>
      </c>
      <c r="J301" s="84" t="n">
        <v>39.59</v>
      </c>
      <c r="K301" s="57" t="inlineStr">
        <is>
          <t>ATIVA</t>
        </is>
      </c>
      <c r="L301" s="58" t="n">
        <v>46252</v>
      </c>
    </row>
    <row r="302">
      <c r="A302" s="54" t="n">
        <v>212522538</v>
      </c>
      <c r="B302" s="54" t="inlineStr">
        <is>
          <t>VIVO</t>
        </is>
      </c>
      <c r="C302" s="54" t="n">
        <v>15997252062</v>
      </c>
      <c r="D302" s="54" t="inlineStr">
        <is>
          <t>42401</t>
        </is>
      </c>
      <c r="E302" s="54" t="inlineStr">
        <is>
          <t>C02 - SUZANO SMA</t>
        </is>
      </c>
      <c r="F302" s="49" t="n"/>
      <c r="G302" s="54" t="inlineStr">
        <is>
          <t>JESSICA CONCEICAO DE OLIVEIRA</t>
        </is>
      </c>
      <c r="H302" s="49" t="inlineStr">
        <is>
          <t>42052824863</t>
        </is>
      </c>
      <c r="I302" s="55" t="n">
        <v>46235</v>
      </c>
      <c r="J302" s="84" t="n">
        <v>39.59</v>
      </c>
      <c r="K302" s="57" t="inlineStr">
        <is>
          <t>ATIVA</t>
        </is>
      </c>
      <c r="L302" s="58" t="n">
        <v>46252</v>
      </c>
    </row>
    <row r="303">
      <c r="A303" s="54" t="n">
        <v>212522538</v>
      </c>
      <c r="B303" s="54" t="inlineStr">
        <is>
          <t>VIVO</t>
        </is>
      </c>
      <c r="C303" s="54" t="n">
        <v>15996992559</v>
      </c>
      <c r="D303" s="54" t="inlineStr">
        <is>
          <t>52400</t>
        </is>
      </c>
      <c r="E303" s="54" t="inlineStr">
        <is>
          <t>GESTAO OP JAGUARIAIVA</t>
        </is>
      </c>
      <c r="F303" s="49" t="inlineStr">
        <is>
          <t>010317122</t>
        </is>
      </c>
      <c r="G303" s="54" t="inlineStr">
        <is>
          <t>JESSICA FERNANDA SUNTAK</t>
        </is>
      </c>
      <c r="H303" s="49" t="inlineStr">
        <is>
          <t>37581048829</t>
        </is>
      </c>
      <c r="I303" s="55" t="n">
        <v>46235</v>
      </c>
      <c r="J303" s="84" t="n">
        <v>39.59</v>
      </c>
      <c r="K303" s="57" t="inlineStr">
        <is>
          <t>ATIVA</t>
        </is>
      </c>
      <c r="L303" s="58" t="n">
        <v>46252</v>
      </c>
    </row>
    <row r="304">
      <c r="A304" s="54" t="n">
        <v>212522538</v>
      </c>
      <c r="B304" s="54" t="inlineStr">
        <is>
          <t>VIVO</t>
        </is>
      </c>
      <c r="C304" s="54" t="n">
        <v>15998252658</v>
      </c>
      <c r="D304" s="54" t="inlineStr">
        <is>
          <t>41301</t>
        </is>
      </c>
      <c r="E304" s="54" t="inlineStr">
        <is>
          <t>C05 - SUZANO LENCOIS PAULISTA</t>
        </is>
      </c>
      <c r="F304" s="49" t="inlineStr">
        <is>
          <t>010316069</t>
        </is>
      </c>
      <c r="G304" s="54" t="inlineStr">
        <is>
          <t>JESSICA MARIA DA SILVA</t>
        </is>
      </c>
      <c r="H304" s="49" t="inlineStr">
        <is>
          <t>46178185880</t>
        </is>
      </c>
      <c r="I304" s="55" t="n">
        <v>46235</v>
      </c>
      <c r="J304" s="84" t="n">
        <v>39.59</v>
      </c>
      <c r="K304" s="57" t="inlineStr">
        <is>
          <t>ATIVA</t>
        </is>
      </c>
      <c r="L304" s="58" t="n">
        <v>46252</v>
      </c>
    </row>
    <row r="305">
      <c r="A305" s="54" t="n">
        <v>212522538</v>
      </c>
      <c r="B305" s="54" t="inlineStr">
        <is>
          <t>VIVO</t>
        </is>
      </c>
      <c r="C305" s="54" t="n">
        <v>15998230175</v>
      </c>
      <c r="D305" s="54" t="n">
        <v>417</v>
      </c>
      <c r="E305" s="54" t="inlineStr">
        <is>
          <t>QUALIDADE SP3</t>
        </is>
      </c>
      <c r="F305" s="49" t="inlineStr">
        <is>
          <t>010322520</t>
        </is>
      </c>
      <c r="G305" s="54" t="inlineStr">
        <is>
          <t>JHONATAS FELIPE DA SILVA</t>
        </is>
      </c>
      <c r="H305" s="49" t="inlineStr">
        <is>
          <t>51224115813</t>
        </is>
      </c>
      <c r="I305" s="55" t="n">
        <v>46235</v>
      </c>
      <c r="J305" s="84" t="n">
        <v>39.59</v>
      </c>
      <c r="K305" s="57" t="inlineStr">
        <is>
          <t>ATIVA</t>
        </is>
      </c>
      <c r="L305" s="58" t="n">
        <v>46252</v>
      </c>
    </row>
    <row r="306">
      <c r="A306" s="54" t="inlineStr">
        <is>
          <t>71768171</t>
        </is>
      </c>
      <c r="B306" s="54" t="inlineStr">
        <is>
          <t>TIM</t>
        </is>
      </c>
      <c r="C306" s="54" t="inlineStr">
        <is>
          <t>15981632325</t>
        </is>
      </c>
      <c r="D306" s="54" t="inlineStr">
        <is>
          <t>52401</t>
        </is>
      </c>
      <c r="E306" s="54" t="inlineStr">
        <is>
          <t>C14 - KLABIN JAGUARIAIVA</t>
        </is>
      </c>
      <c r="F306" s="49" t="n"/>
      <c r="G306" s="54" t="inlineStr">
        <is>
          <t>JAIR TOMAZ DE MIRANDA</t>
        </is>
      </c>
      <c r="H306" s="49" t="inlineStr">
        <is>
          <t>90034805915</t>
        </is>
      </c>
      <c r="I306" s="55" t="n">
        <v>46235</v>
      </c>
      <c r="J306" s="84" t="n">
        <v>39.24</v>
      </c>
      <c r="K306" s="57" t="inlineStr">
        <is>
          <t>ATIVA</t>
        </is>
      </c>
      <c r="L306" s="58" t="n">
        <v>46252</v>
      </c>
    </row>
    <row r="307">
      <c r="A307" s="54" t="inlineStr">
        <is>
          <t>71768171</t>
        </is>
      </c>
      <c r="B307" s="54" t="inlineStr">
        <is>
          <t>TIM</t>
        </is>
      </c>
      <c r="C307" s="54" t="inlineStr">
        <is>
          <t>15981840291</t>
        </is>
      </c>
      <c r="D307" s="54" t="inlineStr">
        <is>
          <t>41301</t>
        </is>
      </c>
      <c r="E307" s="54" t="inlineStr">
        <is>
          <t>C05 - SUZANO LENCOIS PAULISTA</t>
        </is>
      </c>
      <c r="F307" s="49" t="n"/>
      <c r="G307" s="54" t="inlineStr">
        <is>
          <t>JAIRSON RODRIGUES DOS SANTOS</t>
        </is>
      </c>
      <c r="H307" s="49" t="inlineStr">
        <is>
          <t>34441390807</t>
        </is>
      </c>
      <c r="I307" s="55" t="n">
        <v>46235</v>
      </c>
      <c r="J307" s="84" t="n">
        <v>38</v>
      </c>
      <c r="K307" s="57" t="inlineStr">
        <is>
          <t>ATIVA</t>
        </is>
      </c>
      <c r="L307" s="58" t="n">
        <v>46252</v>
      </c>
    </row>
    <row r="308">
      <c r="A308" s="54" t="n">
        <v>212522538</v>
      </c>
      <c r="B308" s="54" t="inlineStr">
        <is>
          <t>VIVO</t>
        </is>
      </c>
      <c r="C308" s="54" t="n">
        <v>15998035890</v>
      </c>
      <c r="D308" s="54" t="n">
        <v>42501</v>
      </c>
      <c r="E308" s="54" t="inlineStr">
        <is>
          <t>C02 - BRACELL CBO</t>
        </is>
      </c>
      <c r="F308" s="74" t="inlineStr">
        <is>
          <t>FROTA</t>
        </is>
      </c>
      <c r="G308" s="54" t="inlineStr">
        <is>
          <t>FROTA CBO - VERIFICAR</t>
        </is>
      </c>
      <c r="H308" s="49" t="n"/>
      <c r="I308" s="55" t="n">
        <v>46235</v>
      </c>
      <c r="J308" s="84" t="n">
        <v>39.59</v>
      </c>
      <c r="K308" s="54" t="inlineStr">
        <is>
          <t>VERIFICAR</t>
        </is>
      </c>
      <c r="L308" s="58" t="n">
        <v>46252</v>
      </c>
    </row>
    <row r="309">
      <c r="A309" s="54" t="n">
        <v>212522538</v>
      </c>
      <c r="B309" s="54" t="inlineStr">
        <is>
          <t>VIVO</t>
        </is>
      </c>
      <c r="C309" s="54" t="n">
        <v>15996017515</v>
      </c>
      <c r="D309" s="54" t="inlineStr">
        <is>
          <t>2032</t>
        </is>
      </c>
      <c r="E309" s="54" t="inlineStr">
        <is>
          <t>OFICINA SUZANO LPTA</t>
        </is>
      </c>
      <c r="F309" s="49" t="inlineStr">
        <is>
          <t>010319892</t>
        </is>
      </c>
      <c r="G309" s="54" t="inlineStr">
        <is>
          <t>JOAO AUGUSTO GARCIA NAVES</t>
        </is>
      </c>
      <c r="H309" s="49" t="inlineStr">
        <is>
          <t>56959383846</t>
        </is>
      </c>
      <c r="I309" s="55" t="n">
        <v>46235</v>
      </c>
      <c r="J309" s="84" t="n">
        <v>39.59</v>
      </c>
      <c r="K309" s="57" t="inlineStr">
        <is>
          <t>ATIVA</t>
        </is>
      </c>
      <c r="L309" s="58" t="n">
        <v>46252</v>
      </c>
    </row>
    <row r="310">
      <c r="A310" s="54" t="n">
        <v>212522538</v>
      </c>
      <c r="B310" s="54" t="inlineStr">
        <is>
          <t>VIVO</t>
        </is>
      </c>
      <c r="C310" s="54" t="n">
        <v>15998546349</v>
      </c>
      <c r="D310" s="54" t="inlineStr">
        <is>
          <t>32300</t>
        </is>
      </c>
      <c r="E310" s="54" t="inlineStr">
        <is>
          <t>GESTAO OP TRES LAGOAS</t>
        </is>
      </c>
      <c r="F310" s="49" t="inlineStr">
        <is>
          <t>210106688</t>
        </is>
      </c>
      <c r="G310" s="54" t="inlineStr">
        <is>
          <t>JOAO PEDRO DUARTE DE ALMEIDA</t>
        </is>
      </c>
      <c r="H310" s="49" t="inlineStr">
        <is>
          <t>03863862180</t>
        </is>
      </c>
      <c r="I310" s="55" t="n">
        <v>46235</v>
      </c>
      <c r="J310" s="84" t="n">
        <v>39.59</v>
      </c>
      <c r="K310" s="57" t="inlineStr">
        <is>
          <t>ATIVA</t>
        </is>
      </c>
      <c r="L310" s="58" t="n">
        <v>46252</v>
      </c>
    </row>
    <row r="311">
      <c r="A311" s="54" t="inlineStr">
        <is>
          <t>71768171</t>
        </is>
      </c>
      <c r="B311" s="54" t="inlineStr">
        <is>
          <t>TIM</t>
        </is>
      </c>
      <c r="C311" s="54" t="inlineStr">
        <is>
          <t>15981472251</t>
        </is>
      </c>
      <c r="D311" s="54" t="inlineStr">
        <is>
          <t>51301</t>
        </is>
      </c>
      <c r="E311" s="54" t="inlineStr">
        <is>
          <t>C13 - KLABIN CURIUVA</t>
        </is>
      </c>
      <c r="F311" s="49" t="inlineStr">
        <is>
          <t>701000884</t>
        </is>
      </c>
      <c r="G311" s="54" t="inlineStr">
        <is>
          <t>Jeferson Rimovicz</t>
        </is>
      </c>
      <c r="H311" s="49" t="n"/>
      <c r="I311" s="55" t="n">
        <v>46235</v>
      </c>
      <c r="J311" s="84" t="n">
        <v>32</v>
      </c>
      <c r="K311" s="54" t="inlineStr">
        <is>
          <t>VERIFICAR</t>
        </is>
      </c>
      <c r="L311" s="58" t="n">
        <v>46252</v>
      </c>
    </row>
    <row r="312">
      <c r="A312" s="54" t="n">
        <v>212522538</v>
      </c>
      <c r="B312" s="54" t="inlineStr">
        <is>
          <t>VIVO</t>
        </is>
      </c>
      <c r="C312" s="54" t="n">
        <v>15996053559</v>
      </c>
      <c r="D312" s="54" t="n">
        <v>10</v>
      </c>
      <c r="E312" s="54" t="inlineStr">
        <is>
          <t>RECURSOS HUMANOS</t>
        </is>
      </c>
      <c r="F312" s="49" t="inlineStr">
        <is>
          <t>FORA SIGO</t>
        </is>
      </c>
      <c r="G312" s="49" t="inlineStr">
        <is>
          <t>João Pedro Monteiro</t>
        </is>
      </c>
      <c r="H312" s="49" t="n"/>
      <c r="I312" s="55" t="n">
        <v>46235</v>
      </c>
      <c r="J312" s="84" t="n">
        <v>39.59</v>
      </c>
      <c r="K312" s="54" t="inlineStr">
        <is>
          <t>ATIVA</t>
        </is>
      </c>
      <c r="L312" s="58" t="n">
        <v>46252</v>
      </c>
    </row>
    <row r="313">
      <c r="A313" s="54" t="n">
        <v>212522538</v>
      </c>
      <c r="B313" s="54" t="inlineStr">
        <is>
          <t>VIVO</t>
        </is>
      </c>
      <c r="C313" s="54" t="n">
        <v>15998711974</v>
      </c>
      <c r="D313" s="54" t="n">
        <v>42550</v>
      </c>
      <c r="E313" s="68" t="inlineStr">
        <is>
          <t>C02 - SUZANO CBO</t>
        </is>
      </c>
      <c r="F313" s="60" t="inlineStr">
        <is>
          <t>010321618</t>
        </is>
      </c>
      <c r="G313" s="60" t="inlineStr">
        <is>
          <t>JOAO VICTOR FERREIRA</t>
        </is>
      </c>
      <c r="H313" s="49" t="inlineStr">
        <is>
          <t>13398101909</t>
        </is>
      </c>
      <c r="I313" s="55" t="n">
        <v>46235</v>
      </c>
      <c r="J313" s="84" t="n">
        <v>39.59</v>
      </c>
      <c r="K313" s="57" t="inlineStr">
        <is>
          <t>ATIVA</t>
        </is>
      </c>
      <c r="L313" s="58" t="n">
        <v>46252</v>
      </c>
    </row>
    <row r="314">
      <c r="A314" s="54" t="inlineStr">
        <is>
          <t>71768171</t>
        </is>
      </c>
      <c r="B314" s="54" t="inlineStr">
        <is>
          <t>TIM</t>
        </is>
      </c>
      <c r="C314" s="54" t="inlineStr">
        <is>
          <t>15981472505</t>
        </is>
      </c>
      <c r="D314" s="54" t="inlineStr">
        <is>
          <t>51401</t>
        </is>
      </c>
      <c r="E314" s="54" t="inlineStr">
        <is>
          <t>C13 - KLABIN PR ESTEIRA</t>
        </is>
      </c>
      <c r="F314" s="49" t="inlineStr">
        <is>
          <t>701001201</t>
        </is>
      </c>
      <c r="G314" s="54" t="inlineStr">
        <is>
          <t>JEFFERSON MARIANI</t>
        </is>
      </c>
      <c r="H314" s="49" t="inlineStr">
        <is>
          <t>09085499976</t>
        </is>
      </c>
      <c r="I314" s="55" t="n">
        <v>46235</v>
      </c>
      <c r="J314" s="84" t="n">
        <v>32</v>
      </c>
      <c r="K314" s="54" t="inlineStr">
        <is>
          <t>DESLIGADO</t>
        </is>
      </c>
      <c r="L314" s="58" t="n">
        <v>46252</v>
      </c>
    </row>
    <row r="315">
      <c r="A315" s="54" t="inlineStr">
        <is>
          <t>71768171</t>
        </is>
      </c>
      <c r="B315" s="54" t="inlineStr">
        <is>
          <t>TIM</t>
        </is>
      </c>
      <c r="C315" s="54" t="inlineStr">
        <is>
          <t>15981306943</t>
        </is>
      </c>
      <c r="D315" s="54" t="inlineStr">
        <is>
          <t>510</t>
        </is>
      </c>
      <c r="E315" s="54" t="inlineStr">
        <is>
          <t>GESTAO OP PR2</t>
        </is>
      </c>
      <c r="F315" s="49" t="n"/>
      <c r="G315" s="54" t="inlineStr">
        <is>
          <t>Jesica Pimentel Ribeiro</t>
        </is>
      </c>
      <c r="H315" s="49" t="n"/>
      <c r="I315" s="55" t="n">
        <v>46235</v>
      </c>
      <c r="J315" s="84" t="n">
        <v>38.13</v>
      </c>
      <c r="K315" s="54" t="inlineStr">
        <is>
          <t>VERIFICAR</t>
        </is>
      </c>
      <c r="L315" s="58" t="n">
        <v>46252</v>
      </c>
    </row>
    <row r="316">
      <c r="A316" s="54" t="n">
        <v>212522538</v>
      </c>
      <c r="B316" s="54" t="inlineStr">
        <is>
          <t>VIVO</t>
        </is>
      </c>
      <c r="C316" s="54" t="n">
        <v>15997897177</v>
      </c>
      <c r="D316" s="54" t="inlineStr">
        <is>
          <t>41200</t>
        </is>
      </c>
      <c r="E316" s="54" t="inlineStr">
        <is>
          <t>GESTAO OP DUARTINA</t>
        </is>
      </c>
      <c r="F316" s="49" t="inlineStr">
        <is>
          <t>010316326</t>
        </is>
      </c>
      <c r="G316" s="54" t="inlineStr">
        <is>
          <t>JOAO VITOR FAVARIN SCHIAVO</t>
        </is>
      </c>
      <c r="H316" s="49" t="inlineStr">
        <is>
          <t>47684706888</t>
        </is>
      </c>
      <c r="I316" s="55" t="n">
        <v>46235</v>
      </c>
      <c r="J316" s="84" t="n">
        <v>39.59</v>
      </c>
      <c r="K316" s="57" t="inlineStr">
        <is>
          <t>ATIVA</t>
        </is>
      </c>
      <c r="L316" s="58" t="n">
        <v>46252</v>
      </c>
    </row>
    <row r="317">
      <c r="A317" s="54" t="n">
        <v>212522538</v>
      </c>
      <c r="B317" s="54" t="inlineStr">
        <is>
          <t>VIVO</t>
        </is>
      </c>
      <c r="C317" s="54" t="n">
        <v>15997559913</v>
      </c>
      <c r="D317" s="54" t="inlineStr">
        <is>
          <t>51200</t>
        </is>
      </c>
      <c r="E317" s="54" t="inlineStr">
        <is>
          <t>GESTAO OP IBAITI</t>
        </is>
      </c>
      <c r="F317" s="49" t="inlineStr">
        <is>
          <t>701002965</t>
        </is>
      </c>
      <c r="G317" s="54" t="inlineStr">
        <is>
          <t>JOICE BUENO DE OLIVEIRA</t>
        </is>
      </c>
      <c r="H317" s="49" t="inlineStr">
        <is>
          <t>10360861946</t>
        </is>
      </c>
      <c r="I317" s="55" t="n">
        <v>46235</v>
      </c>
      <c r="J317" s="84" t="n">
        <v>39.59</v>
      </c>
      <c r="K317" s="57" t="inlineStr">
        <is>
          <t>ATIVA</t>
        </is>
      </c>
      <c r="L317" s="58" t="n">
        <v>46252</v>
      </c>
    </row>
    <row r="318">
      <c r="A318" s="54" t="n">
        <v>212522538</v>
      </c>
      <c r="B318" s="54" t="inlineStr">
        <is>
          <t>VIVO</t>
        </is>
      </c>
      <c r="C318" s="54" t="n">
        <v>15996240150</v>
      </c>
      <c r="D318" s="54" t="inlineStr">
        <is>
          <t>2000</t>
        </is>
      </c>
      <c r="E318" s="54" t="inlineStr">
        <is>
          <t>GESTAO MANUTENCAO</t>
        </is>
      </c>
      <c r="F318" s="49" t="inlineStr">
        <is>
          <t>010622725</t>
        </is>
      </c>
      <c r="G318" s="54" t="inlineStr">
        <is>
          <t>JONATHAN VIEIRA MACHADO</t>
        </is>
      </c>
      <c r="H318" s="49" t="inlineStr">
        <is>
          <t>44260110861</t>
        </is>
      </c>
      <c r="I318" s="55" t="n">
        <v>46235</v>
      </c>
      <c r="J318" s="84" t="n">
        <v>39.59</v>
      </c>
      <c r="K318" s="57" t="inlineStr">
        <is>
          <t>ATIVA</t>
        </is>
      </c>
      <c r="L318" s="58" t="n">
        <v>46252</v>
      </c>
    </row>
    <row r="319">
      <c r="A319" s="54" t="n">
        <v>212522538</v>
      </c>
      <c r="B319" s="54" t="inlineStr">
        <is>
          <t>VIVO</t>
        </is>
      </c>
      <c r="C319" s="54" t="n">
        <v>15998053184</v>
      </c>
      <c r="D319" s="54" t="inlineStr">
        <is>
          <t>41300</t>
        </is>
      </c>
      <c r="E319" s="54" t="inlineStr">
        <is>
          <t>GESTAO OP SUZANO LPTA</t>
        </is>
      </c>
      <c r="F319" s="49" t="inlineStr">
        <is>
          <t>010319891</t>
        </is>
      </c>
      <c r="G319" s="54" t="inlineStr">
        <is>
          <t>JORGE VITOR DE SOUZA WERNECH</t>
        </is>
      </c>
      <c r="H319" s="49" t="inlineStr">
        <is>
          <t>38559622861</t>
        </is>
      </c>
      <c r="I319" s="55" t="n">
        <v>46235</v>
      </c>
      <c r="J319" s="84" t="n">
        <v>39.59</v>
      </c>
      <c r="K319" s="57" t="inlineStr">
        <is>
          <t>ATIVA</t>
        </is>
      </c>
      <c r="L319" s="58" t="n">
        <v>46252</v>
      </c>
    </row>
    <row r="320">
      <c r="A320" s="54" t="n">
        <v>212522538</v>
      </c>
      <c r="B320" s="54" t="inlineStr">
        <is>
          <t>VIVO</t>
        </is>
      </c>
      <c r="C320" s="54" t="n">
        <v>15996084595</v>
      </c>
      <c r="D320" s="54" t="inlineStr">
        <is>
          <t>2000</t>
        </is>
      </c>
      <c r="E320" s="54" t="inlineStr">
        <is>
          <t>GESTAO MANUTENCAO</t>
        </is>
      </c>
      <c r="F320" s="49" t="inlineStr">
        <is>
          <t>210103221</t>
        </is>
      </c>
      <c r="G320" s="54" t="inlineStr">
        <is>
          <t>JORRAYNE GAMEIRO UCLES</t>
        </is>
      </c>
      <c r="H320" s="49" t="inlineStr">
        <is>
          <t>42381627812</t>
        </is>
      </c>
      <c r="I320" s="55" t="n">
        <v>46235</v>
      </c>
      <c r="J320" s="84" t="n">
        <v>39.59</v>
      </c>
      <c r="K320" s="57" t="inlineStr">
        <is>
          <t>ATIVA</t>
        </is>
      </c>
      <c r="L320" s="58" t="n">
        <v>46252</v>
      </c>
    </row>
    <row r="321">
      <c r="A321" s="54" t="n">
        <v>212522538</v>
      </c>
      <c r="B321" s="54" t="inlineStr">
        <is>
          <t>VIVO</t>
        </is>
      </c>
      <c r="C321" s="54" t="n">
        <v>15996364399</v>
      </c>
      <c r="D321" s="54" t="n">
        <v>42501</v>
      </c>
      <c r="E321" s="54" t="inlineStr">
        <is>
          <t>C02 - BRACELL CBO</t>
        </is>
      </c>
      <c r="F321" s="74" t="inlineStr">
        <is>
          <t>FROTA</t>
        </is>
      </c>
      <c r="G321" s="54" t="inlineStr">
        <is>
          <t>FROTA CBO - VERIFICAR</t>
        </is>
      </c>
      <c r="H321" s="49" t="n"/>
      <c r="I321" s="55" t="n">
        <v>46235</v>
      </c>
      <c r="J321" s="84" t="n">
        <v>39.59</v>
      </c>
      <c r="K321" s="54" t="inlineStr">
        <is>
          <t>VERIFICAR</t>
        </is>
      </c>
      <c r="L321" s="58" t="n">
        <v>46252</v>
      </c>
    </row>
    <row r="322">
      <c r="A322" s="54" t="n">
        <v>212522538</v>
      </c>
      <c r="B322" s="54" t="inlineStr">
        <is>
          <t>VIVO</t>
        </is>
      </c>
      <c r="C322" s="54" t="n">
        <v>15996025062</v>
      </c>
      <c r="D322" s="54" t="inlineStr">
        <is>
          <t>42400</t>
        </is>
      </c>
      <c r="E322" s="54" t="inlineStr">
        <is>
          <t>GESTAO OP SMA</t>
        </is>
      </c>
      <c r="F322" s="62" t="inlineStr">
        <is>
          <t>010220413</t>
        </is>
      </c>
      <c r="G322" s="54" t="inlineStr">
        <is>
          <t>JOSE AUGUSTO FERREIRA</t>
        </is>
      </c>
      <c r="H322" s="49" t="inlineStr">
        <is>
          <t>48028212808</t>
        </is>
      </c>
      <c r="I322" s="55" t="n">
        <v>46235</v>
      </c>
      <c r="J322" s="84" t="n">
        <v>39.59</v>
      </c>
      <c r="K322" s="57" t="inlineStr">
        <is>
          <t>ATIVA</t>
        </is>
      </c>
      <c r="L322" s="58" t="n">
        <v>46252</v>
      </c>
    </row>
    <row r="323">
      <c r="A323" s="54" t="n">
        <v>212522538</v>
      </c>
      <c r="B323" s="54" t="inlineStr">
        <is>
          <t>VIVO</t>
        </is>
      </c>
      <c r="C323" s="54" t="n">
        <v>15996627757</v>
      </c>
      <c r="D323" s="54" t="inlineStr">
        <is>
          <t>41501</t>
        </is>
      </c>
      <c r="E323" s="54" t="inlineStr">
        <is>
          <t>C03 - BRACELL ITATINGA</t>
        </is>
      </c>
      <c r="F323" s="49" t="inlineStr">
        <is>
          <t>010320577</t>
        </is>
      </c>
      <c r="G323" s="54" t="inlineStr">
        <is>
          <t>JOSE AUGUSTO PEREIRA DA SILVA</t>
        </is>
      </c>
      <c r="H323" s="49" t="inlineStr">
        <is>
          <t>60927905302</t>
        </is>
      </c>
      <c r="I323" s="55" t="n">
        <v>46235</v>
      </c>
      <c r="J323" s="84" t="n">
        <v>39.59</v>
      </c>
      <c r="K323" s="57" t="inlineStr">
        <is>
          <t>ATIVA</t>
        </is>
      </c>
      <c r="L323" s="58" t="n">
        <v>46252</v>
      </c>
    </row>
    <row r="324">
      <c r="A324" s="54" t="n">
        <v>212522538</v>
      </c>
      <c r="B324" s="54" t="inlineStr">
        <is>
          <t>VIVO</t>
        </is>
      </c>
      <c r="C324" s="54" t="n">
        <v>15998082200</v>
      </c>
      <c r="D324" s="54" t="inlineStr">
        <is>
          <t>42300</t>
        </is>
      </c>
      <c r="E324" s="54" t="inlineStr">
        <is>
          <t>GESTAO OP CACAPAVA</t>
        </is>
      </c>
      <c r="F324" s="62" t="inlineStr">
        <is>
          <t>010407803</t>
        </is>
      </c>
      <c r="G324" s="54" t="inlineStr">
        <is>
          <t>JOSE BONIFACIO DE BARROS FILHO</t>
        </is>
      </c>
      <c r="H324" s="49" t="inlineStr">
        <is>
          <t>07613203697</t>
        </is>
      </c>
      <c r="I324" s="55" t="n">
        <v>46235</v>
      </c>
      <c r="J324" s="84" t="n">
        <v>39.59</v>
      </c>
      <c r="K324" s="57" t="inlineStr">
        <is>
          <t>ATIVA</t>
        </is>
      </c>
      <c r="L324" s="58" t="n">
        <v>46252</v>
      </c>
    </row>
    <row r="325">
      <c r="A325" s="54" t="n">
        <v>212522538</v>
      </c>
      <c r="B325" s="54" t="inlineStr">
        <is>
          <t>VIVO</t>
        </is>
      </c>
      <c r="C325" s="63" t="n">
        <v>15991359471</v>
      </c>
      <c r="D325" s="63" t="n">
        <v>91006</v>
      </c>
      <c r="E325" s="67" t="inlineStr">
        <is>
          <t>DIRETORIA EXECUTIVA</t>
        </is>
      </c>
      <c r="F325" s="64" t="inlineStr">
        <is>
          <t>FAMILIA</t>
        </is>
      </c>
      <c r="G325" s="65" t="inlineStr">
        <is>
          <t>Jose Carlos De Almeida</t>
        </is>
      </c>
      <c r="H325" s="49" t="inlineStr">
        <is>
          <t>04322748805</t>
        </is>
      </c>
      <c r="I325" s="55" t="n">
        <v>46235</v>
      </c>
      <c r="J325" s="84" t="n">
        <v>149.98</v>
      </c>
      <c r="K325" s="57" t="inlineStr">
        <is>
          <t>ATIVA</t>
        </is>
      </c>
      <c r="L325" s="58" t="n">
        <v>46252</v>
      </c>
    </row>
    <row r="326">
      <c r="A326" s="54" t="n">
        <v>212522538</v>
      </c>
      <c r="B326" s="54" t="inlineStr">
        <is>
          <t>VIVO</t>
        </is>
      </c>
      <c r="C326" s="54" t="n">
        <v>15996845328</v>
      </c>
      <c r="D326" s="54" t="inlineStr">
        <is>
          <t>2043</t>
        </is>
      </c>
      <c r="E326" s="54" t="inlineStr">
        <is>
          <t>OFICINA SMA</t>
        </is>
      </c>
      <c r="F326" s="62" t="inlineStr">
        <is>
          <t>010712585</t>
        </is>
      </c>
      <c r="G326" s="54" t="inlineStr">
        <is>
          <t>JOSE CARLOS DE OLIVEIRA</t>
        </is>
      </c>
      <c r="H326" s="49" t="inlineStr">
        <is>
          <t>14177640824</t>
        </is>
      </c>
      <c r="I326" s="55" t="n">
        <v>46235</v>
      </c>
      <c r="J326" s="84" t="n">
        <v>39.59</v>
      </c>
      <c r="K326" s="57" t="inlineStr">
        <is>
          <t>ATIVA</t>
        </is>
      </c>
      <c r="L326" s="58" t="n">
        <v>46252</v>
      </c>
    </row>
    <row r="327">
      <c r="A327" s="54" t="n">
        <v>212522538</v>
      </c>
      <c r="B327" s="54" t="inlineStr">
        <is>
          <t>VIVO</t>
        </is>
      </c>
      <c r="C327" s="54" t="n">
        <v>15997398464</v>
      </c>
      <c r="D327" s="54" t="inlineStr">
        <is>
          <t>2043</t>
        </is>
      </c>
      <c r="E327" s="54" t="inlineStr">
        <is>
          <t>OFICINA SMA</t>
        </is>
      </c>
      <c r="F327" s="62" t="inlineStr">
        <is>
          <t>010712585</t>
        </is>
      </c>
      <c r="G327" s="54" t="inlineStr">
        <is>
          <t>JOSE CARLOS DE OLIVEIRA</t>
        </is>
      </c>
      <c r="H327" s="49" t="inlineStr">
        <is>
          <t>14177640824</t>
        </is>
      </c>
      <c r="I327" s="55" t="n">
        <v>46235</v>
      </c>
      <c r="J327" s="84" t="n">
        <v>39.59</v>
      </c>
      <c r="K327" s="57" t="inlineStr">
        <is>
          <t>ATIVA</t>
        </is>
      </c>
      <c r="L327" s="58" t="n">
        <v>46252</v>
      </c>
    </row>
    <row r="328">
      <c r="A328" s="54" t="n">
        <v>212522538</v>
      </c>
      <c r="B328" s="54" t="inlineStr">
        <is>
          <t>VIVO</t>
        </is>
      </c>
      <c r="C328" s="54" t="n">
        <v>15998024613</v>
      </c>
      <c r="D328" s="54" t="inlineStr">
        <is>
          <t>42550</t>
        </is>
      </c>
      <c r="E328" s="68" t="inlineStr">
        <is>
          <t>C02 - SUZANO CBO</t>
        </is>
      </c>
      <c r="F328" s="62" t="inlineStr">
        <is>
          <t>010206696</t>
        </is>
      </c>
      <c r="G328" s="54" t="inlineStr">
        <is>
          <t>JOSE CARLOS DE PROENCA</t>
        </is>
      </c>
      <c r="H328" s="49" t="inlineStr">
        <is>
          <t>28355213807</t>
        </is>
      </c>
      <c r="I328" s="55" t="n">
        <v>46235</v>
      </c>
      <c r="J328" s="84" t="n">
        <v>39.59</v>
      </c>
      <c r="K328" s="57" t="inlineStr">
        <is>
          <t>ATIVA</t>
        </is>
      </c>
      <c r="L328" s="58" t="n">
        <v>46252</v>
      </c>
    </row>
    <row r="329">
      <c r="A329" s="54" t="n">
        <v>212522538</v>
      </c>
      <c r="B329" s="54" t="inlineStr">
        <is>
          <t>VIVO</t>
        </is>
      </c>
      <c r="C329" s="54" t="n">
        <v>15998240583</v>
      </c>
      <c r="D329" s="54" t="n">
        <v>41400</v>
      </c>
      <c r="E329" s="54" t="inlineStr">
        <is>
          <t>GESTAO OP DOURADO</t>
        </is>
      </c>
      <c r="F329" s="62" t="inlineStr">
        <is>
          <t>010318581</t>
        </is>
      </c>
      <c r="G329" s="54" t="inlineStr">
        <is>
          <t>JOSE GERALDO DOS SANTOS</t>
        </is>
      </c>
      <c r="H329" s="49" t="inlineStr">
        <is>
          <t>70794880606</t>
        </is>
      </c>
      <c r="I329" s="55" t="n">
        <v>46235</v>
      </c>
      <c r="J329" s="84" t="n">
        <v>39.59</v>
      </c>
      <c r="K329" s="54" t="inlineStr">
        <is>
          <t>ATIVA</t>
        </is>
      </c>
      <c r="L329" s="58" t="n">
        <v>46252</v>
      </c>
    </row>
    <row r="330">
      <c r="A330" s="54" t="n">
        <v>212522538</v>
      </c>
      <c r="B330" s="54" t="inlineStr">
        <is>
          <t>VIVO</t>
        </is>
      </c>
      <c r="C330" s="54" t="n">
        <v>15996987359</v>
      </c>
      <c r="D330" s="54" t="n">
        <v>41501</v>
      </c>
      <c r="E330" s="54" t="inlineStr">
        <is>
          <t>C03 - BRACELL ITATINGA</t>
        </is>
      </c>
      <c r="F330" s="62" t="inlineStr">
        <is>
          <t>FORA SIGO</t>
        </is>
      </c>
      <c r="G330" s="54" t="inlineStr">
        <is>
          <t>José Libério Caetano Júnior</t>
        </is>
      </c>
      <c r="H330" s="49" t="n"/>
      <c r="I330" s="55" t="n">
        <v>46235</v>
      </c>
      <c r="J330" s="84" t="n">
        <v>39.59</v>
      </c>
      <c r="K330" s="54" t="inlineStr">
        <is>
          <t>ATIVA</t>
        </is>
      </c>
      <c r="L330" s="58" t="n">
        <v>46252</v>
      </c>
    </row>
    <row r="331">
      <c r="A331" s="54" t="n">
        <v>212522538</v>
      </c>
      <c r="B331" s="54" t="inlineStr">
        <is>
          <t>VIVO</t>
        </is>
      </c>
      <c r="C331" s="54" t="n">
        <v>15996263222</v>
      </c>
      <c r="D331" s="54" t="inlineStr">
        <is>
          <t>41600</t>
        </is>
      </c>
      <c r="E331" s="54" t="inlineStr">
        <is>
          <t>GESTAO OP EUCATEX ITATINGA</t>
        </is>
      </c>
      <c r="F331" s="49" t="inlineStr">
        <is>
          <t>010322212</t>
        </is>
      </c>
      <c r="G331" s="54" t="inlineStr">
        <is>
          <t>JOSE MARIANO DINIZ LOBO</t>
        </is>
      </c>
      <c r="H331" s="49" t="inlineStr">
        <is>
          <t>35524269810</t>
        </is>
      </c>
      <c r="I331" s="55" t="n">
        <v>46235</v>
      </c>
      <c r="J331" s="84" t="n">
        <v>39.59</v>
      </c>
      <c r="K331" s="57" t="inlineStr">
        <is>
          <t>ATIVA</t>
        </is>
      </c>
      <c r="L331" s="58" t="n">
        <v>46252</v>
      </c>
    </row>
    <row r="332">
      <c r="A332" s="54" t="n">
        <v>212522538</v>
      </c>
      <c r="B332" s="54" t="inlineStr">
        <is>
          <t>VIVO</t>
        </is>
      </c>
      <c r="C332" s="54" t="n">
        <v>15998595632</v>
      </c>
      <c r="D332" s="54" t="inlineStr">
        <is>
          <t>11</t>
        </is>
      </c>
      <c r="E332" s="54" t="inlineStr">
        <is>
          <t>CONTROLADORIA</t>
        </is>
      </c>
      <c r="F332" s="49" t="inlineStr">
        <is>
          <t>010616382</t>
        </is>
      </c>
      <c r="G332" s="54" t="inlineStr">
        <is>
          <t>JOSE MONTEIRO PINTO JUNIOR</t>
        </is>
      </c>
      <c r="H332" s="49" t="inlineStr">
        <is>
          <t>48985674870</t>
        </is>
      </c>
      <c r="I332" s="55" t="n">
        <v>46235</v>
      </c>
      <c r="J332" s="84" t="n">
        <v>39.59</v>
      </c>
      <c r="K332" s="57" t="inlineStr">
        <is>
          <t>ATIVA</t>
        </is>
      </c>
      <c r="L332" s="58" t="n">
        <v>46252</v>
      </c>
    </row>
    <row r="333">
      <c r="A333" s="54" t="n">
        <v>212522538</v>
      </c>
      <c r="B333" s="54" t="inlineStr">
        <is>
          <t>VIVO</t>
        </is>
      </c>
      <c r="C333" s="54" t="n">
        <v>15997126271</v>
      </c>
      <c r="D333" s="54" t="inlineStr">
        <is>
          <t>13</t>
        </is>
      </c>
      <c r="E333" s="54" t="inlineStr">
        <is>
          <t>DIRETORIA E AUDITORIA</t>
        </is>
      </c>
      <c r="F333" s="49" t="inlineStr">
        <is>
          <t>010712283</t>
        </is>
      </c>
      <c r="G333" s="54" t="inlineStr">
        <is>
          <t>JOSE ROBERTO DA CONCEICAO</t>
        </is>
      </c>
      <c r="H333" s="49" t="inlineStr">
        <is>
          <t>18221517836</t>
        </is>
      </c>
      <c r="I333" s="55" t="n">
        <v>46235</v>
      </c>
      <c r="J333" s="84" t="n">
        <v>39.59</v>
      </c>
      <c r="K333" s="57" t="inlineStr">
        <is>
          <t>ATIVA</t>
        </is>
      </c>
      <c r="L333" s="58" t="n">
        <v>46252</v>
      </c>
    </row>
    <row r="334">
      <c r="A334" s="54" t="n">
        <v>212522538</v>
      </c>
      <c r="B334" s="54" t="inlineStr">
        <is>
          <t>VIVO</t>
        </is>
      </c>
      <c r="C334" s="54" t="n">
        <v>67998326673</v>
      </c>
      <c r="D334" s="54" t="inlineStr">
        <is>
          <t>32301</t>
        </is>
      </c>
      <c r="E334" s="54" t="inlineStr">
        <is>
          <t>C07 - SUZANO MANUTENCAO TRES LAGOAS</t>
        </is>
      </c>
      <c r="F334" s="49" t="inlineStr">
        <is>
          <t>210103154</t>
        </is>
      </c>
      <c r="G334" s="54" t="inlineStr">
        <is>
          <t>JOSE VENILSON ALIXANDRE SOUZA</t>
        </is>
      </c>
      <c r="H334" s="49" t="inlineStr">
        <is>
          <t>12902122608</t>
        </is>
      </c>
      <c r="I334" s="55" t="n">
        <v>46235</v>
      </c>
      <c r="J334" s="84" t="n">
        <v>39.59</v>
      </c>
      <c r="K334" s="57" t="inlineStr">
        <is>
          <t>ATIVA</t>
        </is>
      </c>
      <c r="L334" s="58" t="n">
        <v>46252</v>
      </c>
    </row>
    <row r="335">
      <c r="A335" s="54" t="inlineStr">
        <is>
          <t>71768171</t>
        </is>
      </c>
      <c r="B335" s="54" t="inlineStr">
        <is>
          <t>TIM</t>
        </is>
      </c>
      <c r="C335" s="54" t="inlineStr">
        <is>
          <t>15981471475</t>
        </is>
      </c>
      <c r="D335" s="54" t="inlineStr">
        <is>
          <t>41600</t>
        </is>
      </c>
      <c r="E335" s="54" t="inlineStr">
        <is>
          <t>GESTAO OP EUCATEX ITATINGA</t>
        </is>
      </c>
      <c r="F335" s="49" t="inlineStr">
        <is>
          <t>701002175</t>
        </is>
      </c>
      <c r="G335" s="54" t="inlineStr">
        <is>
          <t>JOSE MARIANO DINIZ LOBO</t>
        </is>
      </c>
      <c r="H335" s="49" t="inlineStr">
        <is>
          <t>35524269810</t>
        </is>
      </c>
      <c r="I335" s="55" t="n">
        <v>46235</v>
      </c>
      <c r="J335" s="84" t="n">
        <v>32</v>
      </c>
      <c r="K335" s="57" t="inlineStr">
        <is>
          <t>ATIVA</t>
        </is>
      </c>
      <c r="L335" s="58" t="n">
        <v>46252</v>
      </c>
    </row>
    <row r="336">
      <c r="A336" s="54" t="n">
        <v>212522538</v>
      </c>
      <c r="B336" s="54" t="inlineStr">
        <is>
          <t>VIVO</t>
        </is>
      </c>
      <c r="C336" s="54" t="n">
        <v>15997409879</v>
      </c>
      <c r="D336" s="54" t="n">
        <v>32200</v>
      </c>
      <c r="E336" s="54" t="inlineStr">
        <is>
          <t>GESTAO OP AGUA CLARA</t>
        </is>
      </c>
      <c r="F336" s="62" t="inlineStr">
        <is>
          <t>FORA SIGO</t>
        </is>
      </c>
      <c r="G336" s="49" t="inlineStr">
        <is>
          <t>Joseandro Prado dos Santos</t>
        </is>
      </c>
      <c r="H336" s="49" t="n"/>
      <c r="I336" s="55" t="n">
        <v>46235</v>
      </c>
      <c r="J336" s="84" t="n">
        <v>39.59</v>
      </c>
      <c r="K336" s="54" t="inlineStr">
        <is>
          <t>ATIVA</t>
        </is>
      </c>
      <c r="L336" s="58" t="n">
        <v>46252</v>
      </c>
    </row>
    <row r="337">
      <c r="A337" s="54" t="n">
        <v>212522538</v>
      </c>
      <c r="B337" s="54" t="inlineStr">
        <is>
          <t>VIVO</t>
        </is>
      </c>
      <c r="C337" s="54" t="n">
        <v>15997184891</v>
      </c>
      <c r="D337" s="54" t="inlineStr">
        <is>
          <t>71101</t>
        </is>
      </c>
      <c r="E337" s="54" t="inlineStr">
        <is>
          <t>P02 - IRRIGACAO AUTOMATICA</t>
        </is>
      </c>
      <c r="F337" s="49" t="inlineStr">
        <is>
          <t>210103818</t>
        </is>
      </c>
      <c r="G337" s="54" t="inlineStr">
        <is>
          <t>JOSILDO XAVIER DA PAZ</t>
        </is>
      </c>
      <c r="H337" s="49" t="inlineStr">
        <is>
          <t>11128832313</t>
        </is>
      </c>
      <c r="I337" s="55" t="n">
        <v>46235</v>
      </c>
      <c r="J337" s="84" t="n">
        <v>39.59</v>
      </c>
      <c r="K337" s="57" t="inlineStr">
        <is>
          <t>ATIVA</t>
        </is>
      </c>
      <c r="L337" s="58" t="n">
        <v>46252</v>
      </c>
    </row>
    <row r="338">
      <c r="A338" s="54" t="n">
        <v>212522538</v>
      </c>
      <c r="B338" s="54" t="inlineStr">
        <is>
          <t>VIVO</t>
        </is>
      </c>
      <c r="C338" s="54" t="n">
        <v>15996450570</v>
      </c>
      <c r="D338" s="54" t="inlineStr">
        <is>
          <t>12</t>
        </is>
      </c>
      <c r="E338" s="54" t="inlineStr">
        <is>
          <t>SUPRIMENTOS E FROTAS</t>
        </is>
      </c>
      <c r="F338" s="49" t="inlineStr">
        <is>
          <t>210105371</t>
        </is>
      </c>
      <c r="G338" s="54" t="inlineStr">
        <is>
          <t>JOSILENE DA CONCEICAO CALDEIRA</t>
        </is>
      </c>
      <c r="H338" s="49" t="inlineStr">
        <is>
          <t>00920617107</t>
        </is>
      </c>
      <c r="I338" s="55" t="n">
        <v>46235</v>
      </c>
      <c r="J338" s="84" t="n">
        <v>39.59</v>
      </c>
      <c r="K338" s="57" t="inlineStr">
        <is>
          <t>ATIVA</t>
        </is>
      </c>
      <c r="L338" s="58" t="n">
        <v>46252</v>
      </c>
    </row>
    <row r="339">
      <c r="A339" s="54" t="n">
        <v>212522538</v>
      </c>
      <c r="B339" s="54" t="inlineStr">
        <is>
          <t>VIVO</t>
        </is>
      </c>
      <c r="C339" s="54" t="n">
        <v>15996622781</v>
      </c>
      <c r="D339" s="54" t="inlineStr">
        <is>
          <t>52301</t>
        </is>
      </c>
      <c r="E339" s="54" t="inlineStr">
        <is>
          <t>C16 - KLABIN ITAPIRAPUA</t>
        </is>
      </c>
      <c r="F339" s="49" t="inlineStr">
        <is>
          <t>701003132</t>
        </is>
      </c>
      <c r="G339" s="54" t="inlineStr">
        <is>
          <t>JOSUE DE SOUZA ALVES DENIZ</t>
        </is>
      </c>
      <c r="H339" s="49" t="inlineStr">
        <is>
          <t>47733442885</t>
        </is>
      </c>
      <c r="I339" s="55" t="n">
        <v>46235</v>
      </c>
      <c r="J339" s="84" t="n">
        <v>39.59</v>
      </c>
      <c r="K339" s="57" t="inlineStr">
        <is>
          <t>ATIVA</t>
        </is>
      </c>
      <c r="L339" s="58" t="n">
        <v>46252</v>
      </c>
    </row>
    <row r="340">
      <c r="A340" s="54" t="n">
        <v>212522538</v>
      </c>
      <c r="B340" s="54" t="inlineStr">
        <is>
          <t>VIVO</t>
        </is>
      </c>
      <c r="C340" s="54" t="n">
        <v>15997376339</v>
      </c>
      <c r="D340" s="54" t="inlineStr">
        <is>
          <t>42400</t>
        </is>
      </c>
      <c r="E340" s="54" t="inlineStr">
        <is>
          <t>GESTAO OP SMA</t>
        </is>
      </c>
      <c r="F340" s="49" t="inlineStr">
        <is>
          <t>010208349</t>
        </is>
      </c>
      <c r="G340" s="54" t="inlineStr">
        <is>
          <t>JOYCE FERNANDA PONTES DOS SANTOS</t>
        </is>
      </c>
      <c r="H340" s="49" t="inlineStr">
        <is>
          <t>40827993897</t>
        </is>
      </c>
      <c r="I340" s="55" t="n">
        <v>46235</v>
      </c>
      <c r="J340" s="84" t="n">
        <v>39.59</v>
      </c>
      <c r="K340" s="57" t="inlineStr">
        <is>
          <t>ATIVA</t>
        </is>
      </c>
      <c r="L340" s="58" t="n">
        <v>46252</v>
      </c>
    </row>
    <row r="341">
      <c r="A341" s="54" t="n">
        <v>212522538</v>
      </c>
      <c r="B341" s="54" t="inlineStr">
        <is>
          <t>VIVO</t>
        </is>
      </c>
      <c r="C341" s="54" t="n">
        <v>15998277276</v>
      </c>
      <c r="D341" s="54" t="inlineStr">
        <is>
          <t>428</t>
        </is>
      </c>
      <c r="E341" s="54" t="inlineStr">
        <is>
          <t>QUALIDADE SP2</t>
        </is>
      </c>
      <c r="F341" s="49" t="inlineStr">
        <is>
          <t>010218402</t>
        </is>
      </c>
      <c r="G341" s="54" t="inlineStr">
        <is>
          <t>JUCIELLY RAPHAELLA FERREIRA</t>
        </is>
      </c>
      <c r="H341" s="49" t="inlineStr">
        <is>
          <t>47979350812</t>
        </is>
      </c>
      <c r="I341" s="55" t="n">
        <v>46235</v>
      </c>
      <c r="J341" s="84" t="n">
        <v>39.59</v>
      </c>
      <c r="K341" s="57" t="inlineStr">
        <is>
          <t>ATIVA</t>
        </is>
      </c>
      <c r="L341" s="58" t="n">
        <v>46252</v>
      </c>
    </row>
    <row r="342">
      <c r="A342" s="54" t="inlineStr">
        <is>
          <t>71768171</t>
        </is>
      </c>
      <c r="B342" s="54" t="inlineStr">
        <is>
          <t>TIM</t>
        </is>
      </c>
      <c r="C342" s="54" t="inlineStr">
        <is>
          <t>15981575489</t>
        </is>
      </c>
      <c r="D342" s="54" t="inlineStr">
        <is>
          <t>420</t>
        </is>
      </c>
      <c r="E342" s="54" t="inlineStr">
        <is>
          <t>GESTAO OP SP1</t>
        </is>
      </c>
      <c r="F342" s="49" t="inlineStr">
        <is>
          <t>701000293</t>
        </is>
      </c>
      <c r="G342" s="54" t="inlineStr">
        <is>
          <t>Josiel Da Silva Guimaraes</t>
        </is>
      </c>
      <c r="H342" s="49" t="n"/>
      <c r="I342" s="55" t="n">
        <v>46235</v>
      </c>
      <c r="J342" s="84" t="n">
        <v>35</v>
      </c>
      <c r="K342" s="54" t="inlineStr">
        <is>
          <t>VERIFICAR</t>
        </is>
      </c>
      <c r="L342" s="58" t="n">
        <v>46252</v>
      </c>
    </row>
    <row r="343">
      <c r="A343" s="54" t="n">
        <v>212522538</v>
      </c>
      <c r="B343" s="54" t="inlineStr">
        <is>
          <t>VIVO</t>
        </is>
      </c>
      <c r="C343" s="54" t="n">
        <v>15996754954</v>
      </c>
      <c r="D343" s="54" t="n">
        <v>42550</v>
      </c>
      <c r="E343" s="68" t="inlineStr">
        <is>
          <t>C02 - SUZANO CBO</t>
        </is>
      </c>
      <c r="F343" s="49" t="inlineStr">
        <is>
          <t>FROTA</t>
        </is>
      </c>
      <c r="G343" s="68" t="inlineStr">
        <is>
          <t>FROTA SEM ID</t>
        </is>
      </c>
      <c r="H343" s="49" t="n"/>
      <c r="I343" s="55" t="n">
        <v>46235</v>
      </c>
      <c r="J343" s="84" t="n">
        <v>39.59</v>
      </c>
      <c r="K343" s="68" t="inlineStr">
        <is>
          <t>VERIFICAR</t>
        </is>
      </c>
      <c r="L343" s="58" t="n">
        <v>46252</v>
      </c>
    </row>
    <row r="344">
      <c r="A344" s="54" t="n">
        <v>212522538</v>
      </c>
      <c r="B344" s="54" t="inlineStr">
        <is>
          <t>VIVO</t>
        </is>
      </c>
      <c r="C344" s="54" t="n">
        <v>13997540513</v>
      </c>
      <c r="D344" s="54" t="inlineStr">
        <is>
          <t>10</t>
        </is>
      </c>
      <c r="E344" s="54" t="inlineStr">
        <is>
          <t>RECURSOS HUMANOS</t>
        </is>
      </c>
      <c r="F344" s="49" t="inlineStr">
        <is>
          <t>010419694</t>
        </is>
      </c>
      <c r="G344" s="54" t="inlineStr">
        <is>
          <t>JULIA NUNES DA COSTA SIQUEIRA</t>
        </is>
      </c>
      <c r="H344" s="49" t="inlineStr">
        <is>
          <t>49736738892</t>
        </is>
      </c>
      <c r="I344" s="55" t="n">
        <v>46235</v>
      </c>
      <c r="J344" s="84" t="n">
        <v>39.59</v>
      </c>
      <c r="K344" s="57" t="inlineStr">
        <is>
          <t>ATIVA</t>
        </is>
      </c>
      <c r="L344" s="58" t="n">
        <v>46252</v>
      </c>
    </row>
    <row r="345">
      <c r="A345" s="54" t="n">
        <v>212522538</v>
      </c>
      <c r="B345" s="54" t="inlineStr">
        <is>
          <t>VIVO</t>
        </is>
      </c>
      <c r="C345" s="54" t="n">
        <v>15997518245</v>
      </c>
      <c r="D345" s="54" t="inlineStr">
        <is>
          <t>10</t>
        </is>
      </c>
      <c r="E345" s="54" t="inlineStr">
        <is>
          <t>RECURSOS HUMANOS</t>
        </is>
      </c>
      <c r="F345" s="49" t="inlineStr">
        <is>
          <t>010419694</t>
        </is>
      </c>
      <c r="G345" s="54" t="inlineStr">
        <is>
          <t>JULIA NUNES DA COSTA SIQUEIRA</t>
        </is>
      </c>
      <c r="H345" s="49" t="inlineStr">
        <is>
          <t>49736738892</t>
        </is>
      </c>
      <c r="I345" s="55" t="n">
        <v>46235</v>
      </c>
      <c r="J345" s="84" t="n">
        <v>39.59</v>
      </c>
      <c r="K345" s="57" t="inlineStr">
        <is>
          <t>ATIVA</t>
        </is>
      </c>
      <c r="L345" s="58" t="n">
        <v>46252</v>
      </c>
    </row>
    <row r="346">
      <c r="A346" s="54" t="n">
        <v>212522538</v>
      </c>
      <c r="B346" s="54" t="inlineStr">
        <is>
          <t>VIVO</t>
        </is>
      </c>
      <c r="C346" s="54" t="n">
        <v>51980182866</v>
      </c>
      <c r="D346" s="54" t="inlineStr">
        <is>
          <t>2170</t>
        </is>
      </c>
      <c r="E346" s="54" t="inlineStr">
        <is>
          <t>SSMA RS</t>
        </is>
      </c>
      <c r="F346" s="49" t="inlineStr">
        <is>
          <t>410101509</t>
        </is>
      </c>
      <c r="G346" s="54" t="inlineStr">
        <is>
          <t>JULIANE BERNY CABREIRA</t>
        </is>
      </c>
      <c r="H346" s="49" t="inlineStr">
        <is>
          <t>03527091033</t>
        </is>
      </c>
      <c r="I346" s="55" t="n">
        <v>46235</v>
      </c>
      <c r="J346" s="84" t="n">
        <v>39.59</v>
      </c>
      <c r="K346" s="57" t="inlineStr">
        <is>
          <t>ATIVA</t>
        </is>
      </c>
      <c r="L346" s="58" t="n">
        <v>46252</v>
      </c>
    </row>
    <row r="347">
      <c r="A347" s="54" t="inlineStr">
        <is>
          <t>71768171</t>
        </is>
      </c>
      <c r="B347" s="54" t="inlineStr">
        <is>
          <t>TIM</t>
        </is>
      </c>
      <c r="C347" s="54" t="inlineStr">
        <is>
          <t>15981890001</t>
        </is>
      </c>
      <c r="D347" s="54" t="inlineStr">
        <is>
          <t>430</t>
        </is>
      </c>
      <c r="E347" s="54" t="inlineStr">
        <is>
          <t>GESTAO OP SP1</t>
        </is>
      </c>
      <c r="F347" s="49" t="n"/>
      <c r="G347" s="54" t="inlineStr">
        <is>
          <t>JOSLAINE DA SILVA MARTINS</t>
        </is>
      </c>
      <c r="H347" s="49" t="inlineStr">
        <is>
          <t>11421158957</t>
        </is>
      </c>
      <c r="I347" s="55" t="n">
        <v>46235</v>
      </c>
      <c r="J347" s="84" t="n">
        <v>36.5</v>
      </c>
      <c r="K347" s="57" t="inlineStr">
        <is>
          <t>ATIVA</t>
        </is>
      </c>
      <c r="L347" s="58" t="n">
        <v>46252</v>
      </c>
    </row>
    <row r="348">
      <c r="A348" s="54" t="n">
        <v>212522538</v>
      </c>
      <c r="B348" s="54" t="inlineStr">
        <is>
          <t>VIVO</t>
        </is>
      </c>
      <c r="C348" s="54" t="n">
        <v>15998578541</v>
      </c>
      <c r="D348" s="54" t="n">
        <v>53290</v>
      </c>
      <c r="E348" s="54" t="inlineStr">
        <is>
          <t>C08 - CMPC SAO GABRIEL MECANIZADO</t>
        </is>
      </c>
      <c r="F348" s="54" t="inlineStr">
        <is>
          <t>410100933</t>
        </is>
      </c>
      <c r="G348" s="54" t="inlineStr">
        <is>
          <t>JULIANO ALBA DE OLIVEIRA</t>
        </is>
      </c>
      <c r="H348" s="49" t="inlineStr">
        <is>
          <t>00587244003</t>
        </is>
      </c>
      <c r="I348" s="55" t="n">
        <v>46235</v>
      </c>
      <c r="J348" s="84" t="n">
        <v>39.59</v>
      </c>
      <c r="K348" s="57" t="inlineStr">
        <is>
          <t>ATIVA</t>
        </is>
      </c>
      <c r="L348" s="58" t="n">
        <v>46252</v>
      </c>
    </row>
    <row r="349">
      <c r="A349" s="54" t="n">
        <v>212522538</v>
      </c>
      <c r="B349" s="54" t="inlineStr">
        <is>
          <t>VIVO</t>
        </is>
      </c>
      <c r="C349" s="54" t="n">
        <v>15996664549</v>
      </c>
      <c r="D349" s="54" t="n">
        <v>42401</v>
      </c>
      <c r="E349" s="54" t="inlineStr">
        <is>
          <t>C02 - SUZANO SMA</t>
        </is>
      </c>
      <c r="F349" s="49" t="inlineStr">
        <is>
          <t>010312203</t>
        </is>
      </c>
      <c r="G349" s="54" t="inlineStr">
        <is>
          <t>JULIANO SOARES DE ALMEIDA</t>
        </is>
      </c>
      <c r="H349" s="49" t="inlineStr">
        <is>
          <t>31871733812</t>
        </is>
      </c>
      <c r="I349" s="55" t="n">
        <v>46235</v>
      </c>
      <c r="J349" s="84" t="n">
        <v>39.59</v>
      </c>
      <c r="K349" s="57" t="inlineStr">
        <is>
          <t>ATIVA</t>
        </is>
      </c>
      <c r="L349" s="58" t="n">
        <v>46252</v>
      </c>
    </row>
    <row r="350">
      <c r="A350" s="54" t="n">
        <v>212522538</v>
      </c>
      <c r="B350" s="54" t="inlineStr">
        <is>
          <t>VIVO</t>
        </is>
      </c>
      <c r="C350" s="54" t="n">
        <v>15998329307</v>
      </c>
      <c r="D350" s="54" t="inlineStr">
        <is>
          <t>2035</t>
        </is>
      </c>
      <c r="E350" s="54" t="inlineStr">
        <is>
          <t>OFICINA EUCATEX ITATINGA</t>
        </is>
      </c>
      <c r="F350" s="49" t="inlineStr">
        <is>
          <t>010212424</t>
        </is>
      </c>
      <c r="G350" s="54" t="inlineStr">
        <is>
          <t>JULIANO TADEU ROCHA DO PRADO</t>
        </is>
      </c>
      <c r="H350" s="49" t="inlineStr">
        <is>
          <t>35307036809</t>
        </is>
      </c>
      <c r="I350" s="55" t="n">
        <v>46235</v>
      </c>
      <c r="J350" s="84" t="n">
        <v>39.59</v>
      </c>
      <c r="K350" s="57" t="inlineStr">
        <is>
          <t>ATIVA</t>
        </is>
      </c>
      <c r="L350" s="58" t="n">
        <v>46252</v>
      </c>
    </row>
    <row r="351">
      <c r="A351" s="54" t="n">
        <v>212522538</v>
      </c>
      <c r="B351" s="54" t="inlineStr">
        <is>
          <t>VIVO</t>
        </is>
      </c>
      <c r="C351" s="54" t="n">
        <v>15996873470</v>
      </c>
      <c r="D351" s="54" t="inlineStr">
        <is>
          <t>42301</t>
        </is>
      </c>
      <c r="E351" s="54" t="inlineStr">
        <is>
          <t>C04 - SUZANO CACAPAVA</t>
        </is>
      </c>
      <c r="F351" s="49" t="inlineStr">
        <is>
          <t>010412135</t>
        </is>
      </c>
      <c r="G351" s="54" t="inlineStr">
        <is>
          <t>JULIO CESAR ALBINO</t>
        </is>
      </c>
      <c r="H351" s="49" t="inlineStr">
        <is>
          <t>13033111602</t>
        </is>
      </c>
      <c r="I351" s="55" t="n">
        <v>46235</v>
      </c>
      <c r="J351" s="84" t="n">
        <v>39.59</v>
      </c>
      <c r="K351" s="57" t="inlineStr">
        <is>
          <t>ATIVA</t>
        </is>
      </c>
      <c r="L351" s="58" t="n">
        <v>46252</v>
      </c>
    </row>
    <row r="352">
      <c r="A352" s="54" t="n">
        <v>212522538</v>
      </c>
      <c r="B352" s="54" t="inlineStr">
        <is>
          <t>VIVO</t>
        </is>
      </c>
      <c r="C352" s="54" t="n">
        <v>13997238917</v>
      </c>
      <c r="D352" s="54" t="n">
        <v>42201</v>
      </c>
      <c r="E352" s="54" t="inlineStr">
        <is>
          <t>C04 - SUZANO SANTA BRANCA</t>
        </is>
      </c>
      <c r="F352" s="49" t="inlineStr">
        <is>
          <t>010416927</t>
        </is>
      </c>
      <c r="G352" s="54" t="inlineStr">
        <is>
          <t>JULIO CESAR DA SILVA GONCALVES</t>
        </is>
      </c>
      <c r="H352" s="49" t="inlineStr">
        <is>
          <t>39467297892</t>
        </is>
      </c>
      <c r="I352" s="55" t="n">
        <v>46235</v>
      </c>
      <c r="J352" s="84" t="n">
        <v>39.59</v>
      </c>
      <c r="K352" s="57" t="inlineStr">
        <is>
          <t>ATIVA</t>
        </is>
      </c>
      <c r="L352" s="58" t="n">
        <v>46252</v>
      </c>
    </row>
    <row r="353">
      <c r="A353" s="54" t="n">
        <v>212522538</v>
      </c>
      <c r="B353" s="54" t="inlineStr">
        <is>
          <t>VIVO</t>
        </is>
      </c>
      <c r="C353" s="54" t="n">
        <v>15996634998</v>
      </c>
      <c r="D353" s="54" t="inlineStr">
        <is>
          <t>71201</t>
        </is>
      </c>
      <c r="E353" s="54" t="inlineStr">
        <is>
          <t>P03 - CMAK</t>
        </is>
      </c>
      <c r="F353" s="49" t="inlineStr">
        <is>
          <t>010208107</t>
        </is>
      </c>
      <c r="G353" s="54" t="inlineStr">
        <is>
          <t>JULIO CESAR DE OLIVEIRA</t>
        </is>
      </c>
      <c r="H353" s="49" t="inlineStr">
        <is>
          <t>26414665894</t>
        </is>
      </c>
      <c r="I353" s="55" t="n">
        <v>46235</v>
      </c>
      <c r="J353" s="84" t="n">
        <v>39.59</v>
      </c>
      <c r="K353" s="57" t="inlineStr">
        <is>
          <t>ATIVA</t>
        </is>
      </c>
      <c r="L353" s="58" t="n">
        <v>46252</v>
      </c>
    </row>
    <row r="354">
      <c r="A354" s="54" t="n">
        <v>212522538</v>
      </c>
      <c r="B354" s="54" t="inlineStr">
        <is>
          <t>VIVO</t>
        </is>
      </c>
      <c r="C354" s="54" t="n">
        <v>13996577882</v>
      </c>
      <c r="D354" s="54" t="inlineStr">
        <is>
          <t>41501</t>
        </is>
      </c>
      <c r="E354" s="54" t="inlineStr">
        <is>
          <t>C03 - BRACELL ITATINGA</t>
        </is>
      </c>
      <c r="F354" s="49" t="n"/>
      <c r="G354" s="54" t="inlineStr">
        <is>
          <t>JULIO CESAR FRAGOSO</t>
        </is>
      </c>
      <c r="H354" s="49" t="inlineStr">
        <is>
          <t>42122722886</t>
        </is>
      </c>
      <c r="I354" s="55" t="n">
        <v>46235</v>
      </c>
      <c r="J354" s="84" t="n">
        <v>39.59</v>
      </c>
      <c r="K354" s="57" t="inlineStr">
        <is>
          <t>ATIVA</t>
        </is>
      </c>
      <c r="L354" s="58" t="n">
        <v>46252</v>
      </c>
    </row>
    <row r="355">
      <c r="A355" s="54" t="inlineStr">
        <is>
          <t>71768171</t>
        </is>
      </c>
      <c r="B355" s="54" t="inlineStr">
        <is>
          <t>TIM</t>
        </is>
      </c>
      <c r="C355" s="54" t="inlineStr">
        <is>
          <t>15981820461</t>
        </is>
      </c>
      <c r="D355" s="54" t="inlineStr">
        <is>
          <t>516</t>
        </is>
      </c>
      <c r="E355" s="54" t="inlineStr">
        <is>
          <t>QUALIDADE PR2</t>
        </is>
      </c>
      <c r="F355" s="49" t="inlineStr">
        <is>
          <t>701003335</t>
        </is>
      </c>
      <c r="G355" s="54" t="inlineStr">
        <is>
          <t>Juliane Soller Moreira</t>
        </is>
      </c>
      <c r="H355" s="49" t="n"/>
      <c r="I355" s="55" t="n">
        <v>46235</v>
      </c>
      <c r="J355" s="84" t="n">
        <v>35</v>
      </c>
      <c r="K355" s="54" t="inlineStr">
        <is>
          <t>VERIFICAR</t>
        </is>
      </c>
      <c r="L355" s="58" t="n">
        <v>46252</v>
      </c>
    </row>
    <row r="356">
      <c r="A356" s="54" t="n">
        <v>212522538</v>
      </c>
      <c r="B356" s="54" t="inlineStr">
        <is>
          <t>VIVO</t>
        </is>
      </c>
      <c r="C356" s="54" t="n">
        <v>15997633506</v>
      </c>
      <c r="D356" s="54" t="inlineStr">
        <is>
          <t>41201</t>
        </is>
      </c>
      <c r="E356" s="54" t="inlineStr">
        <is>
          <t>C05 - BRACELL DUARTINA</t>
        </is>
      </c>
      <c r="F356" s="49" t="inlineStr">
        <is>
          <t>010313413</t>
        </is>
      </c>
      <c r="G356" s="54" t="inlineStr">
        <is>
          <t>JUNIOR RODRIGO AUGUSTO</t>
        </is>
      </c>
      <c r="H356" s="49" t="inlineStr">
        <is>
          <t>39629687844</t>
        </is>
      </c>
      <c r="I356" s="55" t="n">
        <v>46235</v>
      </c>
      <c r="J356" s="84" t="n">
        <v>39.59</v>
      </c>
      <c r="K356" s="57" t="inlineStr">
        <is>
          <t>ATIVA</t>
        </is>
      </c>
      <c r="L356" s="58" t="n">
        <v>46252</v>
      </c>
    </row>
    <row r="357">
      <c r="A357" s="54" t="n">
        <v>212522538</v>
      </c>
      <c r="B357" s="54" t="inlineStr">
        <is>
          <t>VIVO</t>
        </is>
      </c>
      <c r="C357" s="54" t="n">
        <v>15997956750</v>
      </c>
      <c r="D357" s="54" t="inlineStr">
        <is>
          <t>14</t>
        </is>
      </c>
      <c r="E357" s="54" t="inlineStr">
        <is>
          <t>FINANCAS, PROCESSOS E FACILITIES</t>
        </is>
      </c>
      <c r="F357" s="49" t="inlineStr">
        <is>
          <t>010611810</t>
        </is>
      </c>
      <c r="G357" s="54" t="inlineStr">
        <is>
          <t>KARINA CORREA FURTADO TANAKA</t>
        </is>
      </c>
      <c r="H357" s="49" t="inlineStr">
        <is>
          <t>36398168895</t>
        </is>
      </c>
      <c r="I357" s="55" t="n">
        <v>46235</v>
      </c>
      <c r="J357" s="84" t="n">
        <v>39.59</v>
      </c>
      <c r="K357" s="57" t="inlineStr">
        <is>
          <t>ATIVA</t>
        </is>
      </c>
      <c r="L357" s="58" t="n">
        <v>46252</v>
      </c>
    </row>
    <row r="358">
      <c r="A358" s="54" t="n">
        <v>212522538</v>
      </c>
      <c r="B358" s="54" t="inlineStr">
        <is>
          <t>VIVO</t>
        </is>
      </c>
      <c r="C358" s="54" t="n">
        <v>67999298925</v>
      </c>
      <c r="D358" s="54" t="inlineStr">
        <is>
          <t>324</t>
        </is>
      </c>
      <c r="E358" s="54" t="inlineStr">
        <is>
          <t>QUALIDADE MS1</t>
        </is>
      </c>
      <c r="F358" s="49" t="inlineStr">
        <is>
          <t>210106713</t>
        </is>
      </c>
      <c r="G358" s="54" t="inlineStr">
        <is>
          <t>KATIA CRISTINA MACHADO LEAL</t>
        </is>
      </c>
      <c r="H358" s="49" t="inlineStr">
        <is>
          <t>06685930160</t>
        </is>
      </c>
      <c r="I358" s="55" t="n">
        <v>46235</v>
      </c>
      <c r="J358" s="84" t="n">
        <v>39.59</v>
      </c>
      <c r="K358" s="57" t="inlineStr">
        <is>
          <t>ATIVA</t>
        </is>
      </c>
      <c r="L358" s="58" t="n">
        <v>46252</v>
      </c>
    </row>
    <row r="359">
      <c r="A359" s="54" t="n">
        <v>212522538</v>
      </c>
      <c r="B359" s="54" t="inlineStr">
        <is>
          <t>VIVO</t>
        </is>
      </c>
      <c r="C359" s="54" t="n">
        <v>15997208512</v>
      </c>
      <c r="D359" s="54" t="inlineStr">
        <is>
          <t>2135</t>
        </is>
      </c>
      <c r="E359" s="54" t="inlineStr">
        <is>
          <t>SSMA EUCATEX ITATINGA</t>
        </is>
      </c>
      <c r="F359" s="49" t="inlineStr">
        <is>
          <t>010321084</t>
        </is>
      </c>
      <c r="G359" s="54" t="inlineStr">
        <is>
          <t>KAYLANE VITORIA RODRIGUES PAES</t>
        </is>
      </c>
      <c r="H359" s="49" t="inlineStr">
        <is>
          <t>55512664867</t>
        </is>
      </c>
      <c r="I359" s="55" t="n">
        <v>46235</v>
      </c>
      <c r="J359" s="84" t="n">
        <v>39.59</v>
      </c>
      <c r="K359" s="57" t="inlineStr">
        <is>
          <t>ATIVA</t>
        </is>
      </c>
      <c r="L359" s="58" t="n">
        <v>46252</v>
      </c>
    </row>
    <row r="360">
      <c r="A360" s="54" t="n">
        <v>212522538</v>
      </c>
      <c r="B360" s="54" t="inlineStr">
        <is>
          <t>VIVO</t>
        </is>
      </c>
      <c r="C360" s="19" t="n">
        <v>15996054253</v>
      </c>
      <c r="D360" s="54" t="inlineStr">
        <is>
          <t>12</t>
        </is>
      </c>
      <c r="E360" s="54" t="inlineStr">
        <is>
          <t>SUPRIMENTOS E FROTAS</t>
        </is>
      </c>
      <c r="F360" s="49" t="inlineStr">
        <is>
          <t>010615899</t>
        </is>
      </c>
      <c r="G360" s="54" t="inlineStr">
        <is>
          <t>KELLY ALESSANDRA NALESSO</t>
        </is>
      </c>
      <c r="H360" s="49" t="inlineStr">
        <is>
          <t>40545639883</t>
        </is>
      </c>
      <c r="I360" s="55" t="n">
        <v>46235</v>
      </c>
      <c r="J360" s="84" t="n">
        <v>39.59</v>
      </c>
      <c r="K360" s="57" t="inlineStr">
        <is>
          <t>ATIVA</t>
        </is>
      </c>
      <c r="L360" s="58" t="n">
        <v>46252</v>
      </c>
    </row>
    <row r="361">
      <c r="A361" s="54" t="n">
        <v>212522538</v>
      </c>
      <c r="B361" s="54" t="inlineStr">
        <is>
          <t>VIVO</t>
        </is>
      </c>
      <c r="C361" s="54" t="n">
        <v>15997099383</v>
      </c>
      <c r="D361" s="54" t="inlineStr">
        <is>
          <t>42501</t>
        </is>
      </c>
      <c r="E361" s="54" t="inlineStr">
        <is>
          <t>C02 - BRACELL CBO</t>
        </is>
      </c>
      <c r="F361" s="49" t="inlineStr">
        <is>
          <t>010316974</t>
        </is>
      </c>
      <c r="G361" s="54" t="inlineStr">
        <is>
          <t>KELVIN WILLIAM CARRIEL AFONSO</t>
        </is>
      </c>
      <c r="H361" s="49" t="inlineStr">
        <is>
          <t>48305819809</t>
        </is>
      </c>
      <c r="I361" s="55" t="n">
        <v>46235</v>
      </c>
      <c r="J361" s="84" t="n">
        <v>39.59</v>
      </c>
      <c r="K361" s="57" t="inlineStr">
        <is>
          <t>ATIVA</t>
        </is>
      </c>
      <c r="L361" s="58" t="n">
        <v>46252</v>
      </c>
    </row>
    <row r="362">
      <c r="A362" s="63" t="inlineStr">
        <is>
          <t>71768171</t>
        </is>
      </c>
      <c r="B362" s="63" t="inlineStr">
        <is>
          <t>TIM</t>
        </is>
      </c>
      <c r="C362" s="19" t="inlineStr">
        <is>
          <t>15981873895</t>
        </is>
      </c>
      <c r="D362" s="63" t="inlineStr">
        <is>
          <t>2063</t>
        </is>
      </c>
      <c r="E362" s="63" t="inlineStr">
        <is>
          <t>OFICINA MEC CURIUVA</t>
        </is>
      </c>
      <c r="F362" s="64" t="inlineStr">
        <is>
          <t>701000302</t>
        </is>
      </c>
      <c r="G362" s="63" t="inlineStr">
        <is>
          <t>Junior Barbosa Souza</t>
        </is>
      </c>
      <c r="H362" s="64" t="n"/>
      <c r="I362" s="80" t="n">
        <v>46235</v>
      </c>
      <c r="J362" s="85" t="n">
        <v>35.61</v>
      </c>
      <c r="K362" s="63" t="inlineStr">
        <is>
          <t>VERIFICAR</t>
        </is>
      </c>
      <c r="L362" s="58" t="n">
        <v>46252</v>
      </c>
    </row>
    <row r="363">
      <c r="A363" s="54" t="n">
        <v>212522538</v>
      </c>
      <c r="B363" s="54" t="inlineStr">
        <is>
          <t>VIVO</t>
        </is>
      </c>
      <c r="C363" s="54" t="n">
        <v>15996315307</v>
      </c>
      <c r="D363" s="54" t="inlineStr">
        <is>
          <t>2170</t>
        </is>
      </c>
      <c r="E363" s="54" t="inlineStr">
        <is>
          <t>SSMA RS</t>
        </is>
      </c>
      <c r="F363" s="49" t="inlineStr">
        <is>
          <t>410101265</t>
        </is>
      </c>
      <c r="G363" s="54" t="inlineStr">
        <is>
          <t>KRISTIAN DE MENEZES PAVONI</t>
        </is>
      </c>
      <c r="H363" s="49" t="inlineStr">
        <is>
          <t>01375292013</t>
        </is>
      </c>
      <c r="I363" s="55" t="n">
        <v>46235</v>
      </c>
      <c r="J363" s="84" t="n">
        <v>39.59</v>
      </c>
      <c r="K363" s="57" t="inlineStr">
        <is>
          <t>ATIVA</t>
        </is>
      </c>
      <c r="L363" s="58" t="n">
        <v>46252</v>
      </c>
    </row>
    <row r="364">
      <c r="A364" s="54" t="n">
        <v>212522538</v>
      </c>
      <c r="B364" s="54" t="inlineStr">
        <is>
          <t>VIVO</t>
        </is>
      </c>
      <c r="C364" s="54" t="n">
        <v>15996560347</v>
      </c>
      <c r="D364" s="54" t="inlineStr">
        <is>
          <t>10</t>
        </is>
      </c>
      <c r="E364" s="54" t="inlineStr">
        <is>
          <t>RECURSOS HUMANOS</t>
        </is>
      </c>
      <c r="F364" s="69" t="inlineStr">
        <is>
          <t>010315339</t>
        </is>
      </c>
      <c r="G364" s="54" t="inlineStr">
        <is>
          <t>LARISSA DE PAULO NASCIMENTO</t>
        </is>
      </c>
      <c r="H364" s="49" t="inlineStr">
        <is>
          <t>46038554866</t>
        </is>
      </c>
      <c r="I364" s="55" t="n">
        <v>46235</v>
      </c>
      <c r="J364" s="84" t="n">
        <v>39.59</v>
      </c>
      <c r="K364" s="57" t="inlineStr">
        <is>
          <t>ATIVA</t>
        </is>
      </c>
      <c r="L364" s="58" t="n">
        <v>46252</v>
      </c>
    </row>
    <row r="365">
      <c r="A365" s="54" t="n">
        <v>212522538</v>
      </c>
      <c r="B365" s="54" t="inlineStr">
        <is>
          <t>VIVO</t>
        </is>
      </c>
      <c r="C365" s="54" t="n">
        <v>15998316540</v>
      </c>
      <c r="D365" s="54" t="n">
        <v>32301</v>
      </c>
      <c r="E365" s="54" t="inlineStr">
        <is>
          <t>C07 - SUZANO MANUTENCAO TRES LAGOAS</t>
        </is>
      </c>
      <c r="F365" s="49" t="inlineStr">
        <is>
          <t>210103751</t>
        </is>
      </c>
      <c r="G365" s="49" t="inlineStr">
        <is>
          <t>LARISSA DOS SANTOS MORALES</t>
        </is>
      </c>
      <c r="H365" s="49" t="inlineStr">
        <is>
          <t>05702522109</t>
        </is>
      </c>
      <c r="I365" s="55" t="n">
        <v>46235</v>
      </c>
      <c r="J365" s="84" t="n">
        <v>39.59</v>
      </c>
      <c r="K365" s="54" t="inlineStr">
        <is>
          <t>ATIVA</t>
        </is>
      </c>
      <c r="L365" s="58" t="n">
        <v>46252</v>
      </c>
    </row>
    <row r="366">
      <c r="A366" s="54" t="inlineStr">
        <is>
          <t>71768171</t>
        </is>
      </c>
      <c r="B366" s="54" t="inlineStr">
        <is>
          <t>TIM</t>
        </is>
      </c>
      <c r="C366" s="54" t="inlineStr">
        <is>
          <t>15981520212</t>
        </is>
      </c>
      <c r="D366" s="54" t="inlineStr">
        <is>
          <t>2150</t>
        </is>
      </c>
      <c r="E366" s="54" t="inlineStr">
        <is>
          <t>SSMA PR1</t>
        </is>
      </c>
      <c r="F366" s="49" t="n"/>
      <c r="G366" s="54" t="inlineStr">
        <is>
          <t>KAUA MIRANDA DOS SANTOS</t>
        </is>
      </c>
      <c r="H366" s="49" t="inlineStr">
        <is>
          <t>13827572983</t>
        </is>
      </c>
      <c r="I366" s="55" t="n">
        <v>46235</v>
      </c>
      <c r="J366" s="84" t="n">
        <v>35</v>
      </c>
      <c r="K366" s="54" t="inlineStr">
        <is>
          <t>DESLIGADO</t>
        </is>
      </c>
      <c r="L366" s="58" t="n">
        <v>46252</v>
      </c>
    </row>
    <row r="367">
      <c r="A367" s="54" t="inlineStr">
        <is>
          <t>71768171</t>
        </is>
      </c>
      <c r="B367" s="54" t="inlineStr">
        <is>
          <t>TIM</t>
        </is>
      </c>
      <c r="C367" s="54" t="inlineStr">
        <is>
          <t>15981306953</t>
        </is>
      </c>
      <c r="D367" s="54" t="inlineStr">
        <is>
          <t>2062</t>
        </is>
      </c>
      <c r="E367" s="54" t="inlineStr">
        <is>
          <t>OFICINA CURIUVA</t>
        </is>
      </c>
      <c r="F367" s="49" t="n"/>
      <c r="G367" s="54" t="inlineStr">
        <is>
          <t>KAUAN BRUM CORDEIRO</t>
        </is>
      </c>
      <c r="H367" s="49" t="inlineStr">
        <is>
          <t>13069100996</t>
        </is>
      </c>
      <c r="I367" s="55" t="n">
        <v>46235</v>
      </c>
      <c r="J367" s="84" t="n">
        <v>38.13</v>
      </c>
      <c r="K367" s="54" t="inlineStr">
        <is>
          <t>DESLIGADO</t>
        </is>
      </c>
      <c r="L367" s="58" t="n">
        <v>46252</v>
      </c>
    </row>
    <row r="368">
      <c r="A368" s="54" t="n">
        <v>212522538</v>
      </c>
      <c r="B368" s="54" t="inlineStr">
        <is>
          <t>VIVO</t>
        </is>
      </c>
      <c r="C368" s="54" t="n">
        <v>67996750322</v>
      </c>
      <c r="D368" s="54" t="inlineStr">
        <is>
          <t>2121</t>
        </is>
      </c>
      <c r="E368" s="54" t="inlineStr">
        <is>
          <t>SSMA AGUA CLARA</t>
        </is>
      </c>
      <c r="F368" s="49" t="inlineStr">
        <is>
          <t>210106714</t>
        </is>
      </c>
      <c r="G368" s="54" t="inlineStr">
        <is>
          <t>LARISSA GABRIELE GONCALVES DA SILVA</t>
        </is>
      </c>
      <c r="H368" s="49" t="inlineStr">
        <is>
          <t>07636874130</t>
        </is>
      </c>
      <c r="I368" s="55" t="n">
        <v>46235</v>
      </c>
      <c r="J368" s="84" t="n">
        <v>54.63</v>
      </c>
      <c r="K368" s="57" t="inlineStr">
        <is>
          <t>ATIVA</t>
        </is>
      </c>
      <c r="L368" s="58" t="n">
        <v>46252</v>
      </c>
    </row>
    <row r="369">
      <c r="A369" s="54" t="n">
        <v>212522538</v>
      </c>
      <c r="B369" s="54" t="inlineStr">
        <is>
          <t>VIVO</t>
        </is>
      </c>
      <c r="C369" s="54" t="n">
        <v>15997148128</v>
      </c>
      <c r="D369" s="54" t="inlineStr">
        <is>
          <t>2130</t>
        </is>
      </c>
      <c r="E369" s="54" t="inlineStr">
        <is>
          <t>SSMA SP3</t>
        </is>
      </c>
      <c r="F369" s="49" t="inlineStr">
        <is>
          <t>010314224</t>
        </is>
      </c>
      <c r="G369" s="54" t="inlineStr">
        <is>
          <t>LARISSA ZAVADSHI BERTO</t>
        </is>
      </c>
      <c r="H369" s="49" t="inlineStr">
        <is>
          <t>51402171803</t>
        </is>
      </c>
      <c r="I369" s="55" t="n">
        <v>46235</v>
      </c>
      <c r="J369" s="84" t="n">
        <v>39.59</v>
      </c>
      <c r="K369" s="57" t="inlineStr">
        <is>
          <t>ATIVA</t>
        </is>
      </c>
      <c r="L369" s="58" t="n">
        <v>46252</v>
      </c>
    </row>
    <row r="370">
      <c r="A370" s="54" t="n">
        <v>212522538</v>
      </c>
      <c r="B370" s="54" t="inlineStr">
        <is>
          <t>VIVO</t>
        </is>
      </c>
      <c r="C370" s="54" t="n">
        <v>15996122188</v>
      </c>
      <c r="D370" s="54" t="inlineStr">
        <is>
          <t>42401</t>
        </is>
      </c>
      <c r="E370" s="54" t="inlineStr">
        <is>
          <t>C02 - SUZANO SMA</t>
        </is>
      </c>
      <c r="F370" s="49" t="inlineStr">
        <is>
          <t>010306972</t>
        </is>
      </c>
      <c r="G370" s="54" t="inlineStr">
        <is>
          <t>LAURO BATISTA RIBEIRO</t>
        </is>
      </c>
      <c r="H370" s="49" t="inlineStr">
        <is>
          <t>28391865860</t>
        </is>
      </c>
      <c r="I370" s="55" t="n">
        <v>46235</v>
      </c>
      <c r="J370" s="84" t="n">
        <v>39.59</v>
      </c>
      <c r="K370" s="57" t="inlineStr">
        <is>
          <t>ATIVA</t>
        </is>
      </c>
      <c r="L370" s="58" t="n">
        <v>46252</v>
      </c>
    </row>
    <row r="371">
      <c r="A371" s="54" t="n">
        <v>212522538</v>
      </c>
      <c r="B371" s="54" t="inlineStr">
        <is>
          <t>VIVO</t>
        </is>
      </c>
      <c r="C371" s="54" t="n">
        <v>15998017490</v>
      </c>
      <c r="D371" s="54" t="n">
        <v>42550</v>
      </c>
      <c r="E371" s="54" t="inlineStr">
        <is>
          <t>C02 - SUZANO CBO</t>
        </is>
      </c>
      <c r="F371" s="49" t="inlineStr">
        <is>
          <t>010206488</t>
        </is>
      </c>
      <c r="G371" s="54" t="inlineStr">
        <is>
          <t>LEANDRO FERREIRA</t>
        </is>
      </c>
      <c r="H371" s="49" t="inlineStr">
        <is>
          <t>27919324882</t>
        </is>
      </c>
      <c r="I371" s="55" t="n">
        <v>46235</v>
      </c>
      <c r="J371" s="84" t="n">
        <v>39.59</v>
      </c>
      <c r="K371" s="57" t="inlineStr">
        <is>
          <t>ATIVA</t>
        </is>
      </c>
      <c r="L371" s="58" t="n">
        <v>46252</v>
      </c>
    </row>
    <row r="372">
      <c r="A372" s="54" t="n">
        <v>212522538</v>
      </c>
      <c r="B372" s="54" t="inlineStr">
        <is>
          <t>VIVO</t>
        </is>
      </c>
      <c r="C372" s="54" t="n">
        <v>15997017507</v>
      </c>
      <c r="D372" s="54" t="inlineStr">
        <is>
          <t>417</t>
        </is>
      </c>
      <c r="E372" s="54" t="inlineStr">
        <is>
          <t>QUALIDADE SP3</t>
        </is>
      </c>
      <c r="F372" s="49" t="inlineStr">
        <is>
          <t>010322081</t>
        </is>
      </c>
      <c r="G372" s="54" t="inlineStr">
        <is>
          <t>LEANDRO ROSARIO JERONIMO</t>
        </is>
      </c>
      <c r="H372" s="49" t="inlineStr">
        <is>
          <t>07753369636</t>
        </is>
      </c>
      <c r="I372" s="55" t="n">
        <v>46235</v>
      </c>
      <c r="J372" s="84" t="n">
        <v>39.59</v>
      </c>
      <c r="K372" s="57" t="inlineStr">
        <is>
          <t>ATIVA</t>
        </is>
      </c>
      <c r="L372" s="58" t="n">
        <v>46252</v>
      </c>
    </row>
    <row r="373">
      <c r="A373" s="54" t="n">
        <v>212522538</v>
      </c>
      <c r="B373" s="54" t="inlineStr">
        <is>
          <t>VIVO</t>
        </is>
      </c>
      <c r="C373" s="54" t="n">
        <v>15998475567</v>
      </c>
      <c r="D373" s="54" t="inlineStr">
        <is>
          <t>417</t>
        </is>
      </c>
      <c r="E373" s="54" t="inlineStr">
        <is>
          <t>QUALIDADE SP3</t>
        </is>
      </c>
      <c r="F373" s="49" t="inlineStr">
        <is>
          <t>010322081</t>
        </is>
      </c>
      <c r="G373" s="54" t="inlineStr">
        <is>
          <t>LEANDRO ROSARIO JERONIMO</t>
        </is>
      </c>
      <c r="H373" s="49" t="inlineStr">
        <is>
          <t>07753369636</t>
        </is>
      </c>
      <c r="I373" s="55" t="n">
        <v>46235</v>
      </c>
      <c r="J373" s="84" t="n">
        <v>39.59</v>
      </c>
      <c r="K373" s="57" t="inlineStr">
        <is>
          <t>ATIVA</t>
        </is>
      </c>
      <c r="L373" s="58" t="n">
        <v>46252</v>
      </c>
    </row>
    <row r="374">
      <c r="A374" s="54" t="n">
        <v>212522538</v>
      </c>
      <c r="B374" s="54" t="inlineStr">
        <is>
          <t>VIVO</t>
        </is>
      </c>
      <c r="C374" s="54" t="n">
        <v>15996045855</v>
      </c>
      <c r="D374" s="54" t="inlineStr">
        <is>
          <t>41600</t>
        </is>
      </c>
      <c r="E374" s="54" t="inlineStr">
        <is>
          <t>GESTAO OP EUCATEX ITATINGA</t>
        </is>
      </c>
      <c r="F374" s="49" t="inlineStr">
        <is>
          <t>010314553</t>
        </is>
      </c>
      <c r="G374" s="54" t="inlineStr">
        <is>
          <t>LEONARDO DOMINGUES DE OLIVEIRA</t>
        </is>
      </c>
      <c r="H374" s="49" t="inlineStr">
        <is>
          <t>47891744840</t>
        </is>
      </c>
      <c r="I374" s="55" t="n">
        <v>46235</v>
      </c>
      <c r="J374" s="84" t="n">
        <v>39.59</v>
      </c>
      <c r="K374" s="57" t="inlineStr">
        <is>
          <t>ATIVA</t>
        </is>
      </c>
      <c r="L374" s="58" t="n">
        <v>46252</v>
      </c>
    </row>
    <row r="375">
      <c r="A375" s="54" t="n">
        <v>212522538</v>
      </c>
      <c r="B375" s="54" t="inlineStr">
        <is>
          <t>VIVO</t>
        </is>
      </c>
      <c r="C375" s="54" t="n">
        <v>15996492197</v>
      </c>
      <c r="D375" s="54" t="inlineStr">
        <is>
          <t>41601</t>
        </is>
      </c>
      <c r="E375" s="54" t="inlineStr">
        <is>
          <t>C03 - EUCATEX ITATINGA</t>
        </is>
      </c>
      <c r="F375" s="49" t="inlineStr">
        <is>
          <t>010318697</t>
        </is>
      </c>
      <c r="G375" s="54" t="inlineStr">
        <is>
          <t>LEONARDO FELIPE SARAIVA DE MELO</t>
        </is>
      </c>
      <c r="H375" s="49" t="inlineStr">
        <is>
          <t>43356161806</t>
        </is>
      </c>
      <c r="I375" s="55" t="n">
        <v>46235</v>
      </c>
      <c r="J375" s="84" t="n">
        <v>39.59</v>
      </c>
      <c r="K375" s="57" t="inlineStr">
        <is>
          <t>ATIVA</t>
        </is>
      </c>
      <c r="L375" s="58" t="n">
        <v>46252</v>
      </c>
    </row>
    <row r="376">
      <c r="A376" s="54" t="inlineStr">
        <is>
          <t>71768171</t>
        </is>
      </c>
      <c r="B376" s="54" t="inlineStr">
        <is>
          <t>TIM</t>
        </is>
      </c>
      <c r="C376" s="54" t="inlineStr">
        <is>
          <t>15981472409</t>
        </is>
      </c>
      <c r="D376" s="54" t="inlineStr">
        <is>
          <t>51200</t>
        </is>
      </c>
      <c r="E376" s="54" t="inlineStr">
        <is>
          <t>GESTAO OP IBAITI</t>
        </is>
      </c>
      <c r="F376" s="49" t="inlineStr">
        <is>
          <t>701000314</t>
        </is>
      </c>
      <c r="G376" s="54" t="inlineStr">
        <is>
          <t>LEANDRO DA SILVA SANTOS</t>
        </is>
      </c>
      <c r="H376" s="49" t="inlineStr">
        <is>
          <t>07018467985</t>
        </is>
      </c>
      <c r="I376" s="55" t="n">
        <v>46235</v>
      </c>
      <c r="J376" s="84" t="n">
        <v>32</v>
      </c>
      <c r="K376" s="57" t="inlineStr">
        <is>
          <t>ATIVA</t>
        </is>
      </c>
      <c r="L376" s="58" t="n">
        <v>46252</v>
      </c>
    </row>
    <row r="377">
      <c r="A377" s="54" t="inlineStr">
        <is>
          <t>71768171</t>
        </is>
      </c>
      <c r="B377" s="54" t="inlineStr">
        <is>
          <t>TIM</t>
        </is>
      </c>
      <c r="C377" s="54" t="inlineStr">
        <is>
          <t>15981632376</t>
        </is>
      </c>
      <c r="D377" s="54" t="inlineStr">
        <is>
          <t>51201</t>
        </is>
      </c>
      <c r="E377" s="54" t="inlineStr">
        <is>
          <t>C12 - KLABIN IBAITI</t>
        </is>
      </c>
      <c r="F377" s="49" t="n"/>
      <c r="G377" s="54" t="inlineStr">
        <is>
          <t>Leandro Da Silva Santos / Marcelo De Oliveira Mendes</t>
        </is>
      </c>
      <c r="H377" s="49" t="n"/>
      <c r="I377" s="55" t="n">
        <v>46235</v>
      </c>
      <c r="J377" s="84" t="n">
        <v>39.24</v>
      </c>
      <c r="K377" s="54" t="inlineStr">
        <is>
          <t>VERIFICAR</t>
        </is>
      </c>
      <c r="L377" s="58" t="n">
        <v>46252</v>
      </c>
    </row>
    <row r="378">
      <c r="A378" s="54" t="inlineStr">
        <is>
          <t>71768171</t>
        </is>
      </c>
      <c r="B378" s="54" t="inlineStr">
        <is>
          <t>TIM</t>
        </is>
      </c>
      <c r="C378" s="54" t="inlineStr">
        <is>
          <t>15981840296</t>
        </is>
      </c>
      <c r="D378" s="54" t="inlineStr">
        <is>
          <t>51201</t>
        </is>
      </c>
      <c r="E378" s="54" t="inlineStr">
        <is>
          <t>C12 - KLABIN IBAITI</t>
        </is>
      </c>
      <c r="F378" s="49" t="n"/>
      <c r="G378" s="54" t="inlineStr">
        <is>
          <t>LEANDRO DE AZEVEDO VIEIRA</t>
        </is>
      </c>
      <c r="H378" s="49" t="inlineStr">
        <is>
          <t>08225814932</t>
        </is>
      </c>
      <c r="I378" s="55" t="n">
        <v>46235</v>
      </c>
      <c r="J378" s="84" t="n">
        <v>38</v>
      </c>
      <c r="K378" s="57" t="inlineStr">
        <is>
          <t>ATIVA</t>
        </is>
      </c>
      <c r="L378" s="58" t="n">
        <v>46252</v>
      </c>
    </row>
    <row r="379">
      <c r="A379" s="54" t="n">
        <v>212522538</v>
      </c>
      <c r="B379" s="54" t="inlineStr">
        <is>
          <t>VIVO</t>
        </is>
      </c>
      <c r="C379" s="54" t="n">
        <v>15998412725</v>
      </c>
      <c r="D379" s="54" t="inlineStr">
        <is>
          <t>53201</t>
        </is>
      </c>
      <c r="E379" s="54" t="inlineStr">
        <is>
          <t>C08 - CMPC SAO GABRIEL MANUAL</t>
        </is>
      </c>
      <c r="F379" s="49" t="inlineStr">
        <is>
          <t>410101051</t>
        </is>
      </c>
      <c r="G379" s="54" t="inlineStr">
        <is>
          <t>LEONARDO GOMES ACHILLES</t>
        </is>
      </c>
      <c r="H379" s="49" t="inlineStr">
        <is>
          <t>00358025028</t>
        </is>
      </c>
      <c r="I379" s="55" t="n">
        <v>46235</v>
      </c>
      <c r="J379" s="84" t="n">
        <v>49.13</v>
      </c>
      <c r="K379" s="57" t="inlineStr">
        <is>
          <t>ATIVA</t>
        </is>
      </c>
      <c r="L379" s="58" t="n">
        <v>46252</v>
      </c>
    </row>
    <row r="380">
      <c r="A380" s="54" t="n">
        <v>212522538</v>
      </c>
      <c r="B380" s="54" t="inlineStr">
        <is>
          <t>VIVO</t>
        </is>
      </c>
      <c r="C380" s="54" t="n">
        <v>15998224990</v>
      </c>
      <c r="D380" s="9" t="n">
        <v>12</v>
      </c>
      <c r="E380" s="9" t="inlineStr">
        <is>
          <t>SUPRIMENTOS E FROTAS</t>
        </is>
      </c>
      <c r="F380" s="60" t="inlineStr">
        <is>
          <t>010716043</t>
        </is>
      </c>
      <c r="G380" s="55" t="inlineStr">
        <is>
          <t>LEONARDO RODRIGUES CARNEIRO</t>
        </is>
      </c>
      <c r="H380" s="49" t="inlineStr">
        <is>
          <t>44356987810</t>
        </is>
      </c>
      <c r="I380" s="55" t="n">
        <v>46235</v>
      </c>
      <c r="J380" s="84" t="n">
        <v>39.59</v>
      </c>
      <c r="K380" s="57" t="inlineStr">
        <is>
          <t>ATIVA</t>
        </is>
      </c>
      <c r="L380" s="58" t="n">
        <v>46252</v>
      </c>
    </row>
    <row r="381">
      <c r="A381" s="54" t="inlineStr">
        <is>
          <t>71768171</t>
        </is>
      </c>
      <c r="B381" s="54" t="inlineStr">
        <is>
          <t>TIM</t>
        </is>
      </c>
      <c r="C381" s="54" t="inlineStr">
        <is>
          <t>15981710647</t>
        </is>
      </c>
      <c r="D381" s="54" t="inlineStr">
        <is>
          <t>52201</t>
        </is>
      </c>
      <c r="E381" s="54" t="inlineStr">
        <is>
          <t>C02 - KLABIN ANGATUBA</t>
        </is>
      </c>
      <c r="F381" s="49" t="n"/>
      <c r="G381" s="54" t="inlineStr">
        <is>
          <t>Leonardo De Castilho Avila Oliveira</t>
        </is>
      </c>
      <c r="H381" s="49" t="n"/>
      <c r="I381" s="55" t="n">
        <v>46235</v>
      </c>
      <c r="J381" s="84" t="n">
        <v>37.59</v>
      </c>
      <c r="K381" s="54" t="inlineStr">
        <is>
          <t>VERIFICAR</t>
        </is>
      </c>
      <c r="L381" s="58" t="n">
        <v>46252</v>
      </c>
    </row>
    <row r="382">
      <c r="A382" s="54" t="n">
        <v>212522538</v>
      </c>
      <c r="B382" s="54" t="inlineStr">
        <is>
          <t>VIVO</t>
        </is>
      </c>
      <c r="C382" s="54" t="n">
        <v>15997963462</v>
      </c>
      <c r="D382" s="54" t="inlineStr">
        <is>
          <t>12</t>
        </is>
      </c>
      <c r="E382" s="54" t="inlineStr">
        <is>
          <t>SUPRIMENTOS E FROTAS</t>
        </is>
      </c>
      <c r="F382" s="49" t="inlineStr">
        <is>
          <t>010716043</t>
        </is>
      </c>
      <c r="G382" s="54" t="inlineStr">
        <is>
          <t>LEONARDO RODRIGUES CARNEIRO</t>
        </is>
      </c>
      <c r="H382" s="49" t="inlineStr">
        <is>
          <t>44356987810</t>
        </is>
      </c>
      <c r="I382" s="55" t="n">
        <v>46235</v>
      </c>
      <c r="J382" s="84" t="n">
        <v>39.59</v>
      </c>
      <c r="K382" s="57" t="inlineStr">
        <is>
          <t>ATIVA</t>
        </is>
      </c>
      <c r="L382" s="58" t="n">
        <v>46252</v>
      </c>
    </row>
    <row r="383">
      <c r="A383" s="54" t="n">
        <v>212522538</v>
      </c>
      <c r="B383" s="54" t="inlineStr">
        <is>
          <t>VIVO</t>
        </is>
      </c>
      <c r="C383" s="54" t="n">
        <v>15996420309</v>
      </c>
      <c r="D383" s="54" t="inlineStr">
        <is>
          <t>2132</t>
        </is>
      </c>
      <c r="E383" s="54" t="inlineStr">
        <is>
          <t>SSMA SUZANO LPTA</t>
        </is>
      </c>
      <c r="F383" s="49" t="inlineStr">
        <is>
          <t>010323088</t>
        </is>
      </c>
      <c r="G383" s="54" t="inlineStr">
        <is>
          <t>LETICIA APARECIDA LEITE</t>
        </is>
      </c>
      <c r="H383" s="49" t="inlineStr">
        <is>
          <t>46273531897</t>
        </is>
      </c>
      <c r="I383" s="55" t="n">
        <v>46235</v>
      </c>
      <c r="J383" s="84" t="n">
        <v>39.59</v>
      </c>
      <c r="K383" s="57" t="inlineStr">
        <is>
          <t>ATIVA</t>
        </is>
      </c>
      <c r="L383" s="58" t="n">
        <v>46252</v>
      </c>
    </row>
    <row r="384">
      <c r="A384" s="54" t="n">
        <v>212522538</v>
      </c>
      <c r="B384" s="54" t="inlineStr">
        <is>
          <t>VIVO</t>
        </is>
      </c>
      <c r="C384" s="54" t="n">
        <v>15996528290</v>
      </c>
      <c r="D384" s="54" t="inlineStr">
        <is>
          <t>32301</t>
        </is>
      </c>
      <c r="E384" s="54" t="inlineStr">
        <is>
          <t>C07 - SUZANO MANUTENCAO TRES LAGOAS</t>
        </is>
      </c>
      <c r="F384" s="49" t="inlineStr">
        <is>
          <t>210105205</t>
        </is>
      </c>
      <c r="G384" s="54" t="inlineStr">
        <is>
          <t>LOANDRO CORREIA FONSECA</t>
        </is>
      </c>
      <c r="H384" s="49" t="inlineStr">
        <is>
          <t>03629833136</t>
        </is>
      </c>
      <c r="I384" s="55" t="n">
        <v>46235</v>
      </c>
      <c r="J384" s="84" t="n">
        <v>39.59</v>
      </c>
      <c r="K384" s="57" t="inlineStr">
        <is>
          <t>ATIVA</t>
        </is>
      </c>
      <c r="L384" s="58" t="n">
        <v>46252</v>
      </c>
    </row>
    <row r="385">
      <c r="A385" s="54" t="n">
        <v>212522538</v>
      </c>
      <c r="B385" s="54" t="inlineStr">
        <is>
          <t>VIVO</t>
        </is>
      </c>
      <c r="C385" s="54" t="n">
        <v>15996663490</v>
      </c>
      <c r="D385" s="54" t="inlineStr">
        <is>
          <t>410</t>
        </is>
      </c>
      <c r="E385" s="54" t="inlineStr">
        <is>
          <t>GESTAO OP SP3</t>
        </is>
      </c>
      <c r="F385" s="49" t="inlineStr">
        <is>
          <t>010313696</t>
        </is>
      </c>
      <c r="G385" s="54" t="inlineStr">
        <is>
          <t>LORRANA CECILIA VITORIANO DE CAMARGO</t>
        </is>
      </c>
      <c r="H385" s="49" t="inlineStr">
        <is>
          <t>47743877892</t>
        </is>
      </c>
      <c r="I385" s="55" t="n">
        <v>46235</v>
      </c>
      <c r="J385" s="84" t="n">
        <v>49.13</v>
      </c>
      <c r="K385" s="57" t="inlineStr">
        <is>
          <t>ATIVA</t>
        </is>
      </c>
      <c r="L385" s="58" t="n">
        <v>46252</v>
      </c>
    </row>
    <row r="386">
      <c r="A386" s="54" t="inlineStr">
        <is>
          <t>71768171</t>
        </is>
      </c>
      <c r="B386" s="54" t="inlineStr">
        <is>
          <t>TIM</t>
        </is>
      </c>
      <c r="C386" s="54" t="inlineStr">
        <is>
          <t>15981470367</t>
        </is>
      </c>
      <c r="D386" s="54" t="inlineStr">
        <is>
          <t>51201</t>
        </is>
      </c>
      <c r="E386" s="54" t="inlineStr">
        <is>
          <t>C12 - KLABIN IBAITI</t>
        </is>
      </c>
      <c r="F386" s="49" t="inlineStr">
        <is>
          <t>701001489</t>
        </is>
      </c>
      <c r="G386" s="54" t="inlineStr">
        <is>
          <t>Leonildo Adao Silva Santos</t>
        </is>
      </c>
      <c r="H386" s="49" t="n"/>
      <c r="I386" s="55" t="n">
        <v>46235</v>
      </c>
      <c r="J386" s="84" t="n">
        <v>32</v>
      </c>
      <c r="K386" s="54" t="inlineStr">
        <is>
          <t>VERIFICAR</t>
        </is>
      </c>
      <c r="L386" s="58" t="n">
        <v>46252</v>
      </c>
    </row>
    <row r="387">
      <c r="A387" s="54" t="n">
        <v>212522538</v>
      </c>
      <c r="B387" s="54" t="inlineStr">
        <is>
          <t>VIVO</t>
        </is>
      </c>
      <c r="C387" s="54" t="n">
        <v>15997084419</v>
      </c>
      <c r="D387" s="54" t="inlineStr">
        <is>
          <t>41201</t>
        </is>
      </c>
      <c r="E387" s="54" t="inlineStr">
        <is>
          <t>C05 - BRACELL DUARTINA</t>
        </is>
      </c>
      <c r="F387" s="49" t="inlineStr">
        <is>
          <t>010319863</t>
        </is>
      </c>
      <c r="G387" s="54" t="inlineStr">
        <is>
          <t>LUCAS ADRIANO DE OLIVEIRA</t>
        </is>
      </c>
      <c r="H387" s="49" t="inlineStr">
        <is>
          <t>44867521809</t>
        </is>
      </c>
      <c r="I387" s="55" t="n">
        <v>46235</v>
      </c>
      <c r="J387" s="84" t="n">
        <v>39.59</v>
      </c>
      <c r="K387" s="57" t="inlineStr">
        <is>
          <t>ATIVA</t>
        </is>
      </c>
      <c r="L387" s="58" t="n">
        <v>46252</v>
      </c>
    </row>
    <row r="388">
      <c r="A388" s="54" t="n">
        <v>212522538</v>
      </c>
      <c r="B388" s="54" t="inlineStr">
        <is>
          <t>VIVO</t>
        </is>
      </c>
      <c r="C388" s="54" t="n">
        <v>15997013550</v>
      </c>
      <c r="D388" s="54" t="n">
        <v>13</v>
      </c>
      <c r="E388" s="54" t="inlineStr">
        <is>
          <t>DIRETORIA E AUDITORIA</t>
        </is>
      </c>
      <c r="F388" s="49" t="inlineStr">
        <is>
          <t>EM ESTOQUE</t>
        </is>
      </c>
      <c r="G388" s="54" t="inlineStr">
        <is>
          <t>EM ESTOQUE</t>
        </is>
      </c>
      <c r="H388" s="49" t="n"/>
      <c r="I388" s="55" t="n">
        <v>46235</v>
      </c>
      <c r="J388" s="84" t="n">
        <v>39.59</v>
      </c>
      <c r="K388" s="57" t="inlineStr">
        <is>
          <t>ESTOQUE</t>
        </is>
      </c>
      <c r="L388" s="58" t="n">
        <v>46252</v>
      </c>
    </row>
    <row r="389">
      <c r="A389" s="54" t="n">
        <v>212522538</v>
      </c>
      <c r="B389" s="54" t="inlineStr">
        <is>
          <t>VIVO</t>
        </is>
      </c>
      <c r="C389" s="54" t="n">
        <v>15998291016</v>
      </c>
      <c r="D389" s="54" t="inlineStr">
        <is>
          <t>41201</t>
        </is>
      </c>
      <c r="E389" s="54" t="inlineStr">
        <is>
          <t>C05 - BRACELL DUARTINA</t>
        </is>
      </c>
      <c r="F389" s="49" t="inlineStr">
        <is>
          <t>010318929</t>
        </is>
      </c>
      <c r="G389" s="54" t="inlineStr">
        <is>
          <t>LUCAS DA SILVA MACHADO</t>
        </is>
      </c>
      <c r="H389" s="49" t="inlineStr">
        <is>
          <t>33396039874</t>
        </is>
      </c>
      <c r="I389" s="55" t="n">
        <v>46235</v>
      </c>
      <c r="J389" s="84" t="n">
        <v>39.59</v>
      </c>
      <c r="K389" s="57" t="inlineStr">
        <is>
          <t>ATIVA</t>
        </is>
      </c>
      <c r="L389" s="58" t="n">
        <v>46252</v>
      </c>
    </row>
    <row r="390">
      <c r="A390" s="54" t="n">
        <v>212522538</v>
      </c>
      <c r="B390" s="54" t="inlineStr">
        <is>
          <t>VIVO</t>
        </is>
      </c>
      <c r="C390" s="54" t="n">
        <v>51996312096</v>
      </c>
      <c r="D390" s="54" t="inlineStr">
        <is>
          <t>53292</t>
        </is>
      </c>
      <c r="E390" s="54" t="inlineStr">
        <is>
          <t>C08 - CMPC SAO GABRIEL LOGISTICA</t>
        </is>
      </c>
      <c r="F390" s="49" t="inlineStr">
        <is>
          <t>410100445</t>
        </is>
      </c>
      <c r="G390" s="54" t="inlineStr">
        <is>
          <t>LUCAS DA SILVA PEREIRA</t>
        </is>
      </c>
      <c r="H390" s="49" t="inlineStr">
        <is>
          <t>02283926084</t>
        </is>
      </c>
      <c r="I390" s="55" t="n">
        <v>46235</v>
      </c>
      <c r="J390" s="84" t="n">
        <v>39.59</v>
      </c>
      <c r="K390" s="57" t="inlineStr">
        <is>
          <t>ATIVA</t>
        </is>
      </c>
      <c r="L390" s="58" t="n">
        <v>46252</v>
      </c>
    </row>
    <row r="391">
      <c r="A391" s="54" t="n">
        <v>212522538</v>
      </c>
      <c r="B391" s="54" t="inlineStr">
        <is>
          <t>VIVO</t>
        </is>
      </c>
      <c r="C391" s="54" t="n">
        <v>15997314873</v>
      </c>
      <c r="D391" s="54" t="inlineStr">
        <is>
          <t>41400</t>
        </is>
      </c>
      <c r="E391" s="54" t="inlineStr">
        <is>
          <t>GESTAO OP DOURADO</t>
        </is>
      </c>
      <c r="F391" s="49" t="inlineStr">
        <is>
          <t>010319956</t>
        </is>
      </c>
      <c r="G391" s="54" t="inlineStr">
        <is>
          <t>LUCAS DANIEL GALLI</t>
        </is>
      </c>
      <c r="H391" s="49" t="inlineStr">
        <is>
          <t>43999837870</t>
        </is>
      </c>
      <c r="I391" s="55" t="n">
        <v>46235</v>
      </c>
      <c r="J391" s="84" t="n">
        <v>39.59</v>
      </c>
      <c r="K391" s="57" t="inlineStr">
        <is>
          <t>ATIVA</t>
        </is>
      </c>
      <c r="L391" s="58" t="n">
        <v>46252</v>
      </c>
    </row>
    <row r="392">
      <c r="A392" s="54" t="inlineStr">
        <is>
          <t>71812824</t>
        </is>
      </c>
      <c r="B392" s="54" t="inlineStr">
        <is>
          <t>TIM</t>
        </is>
      </c>
      <c r="C392" s="54" t="inlineStr">
        <is>
          <t>15981033164</t>
        </is>
      </c>
      <c r="D392" s="54" t="inlineStr">
        <is>
          <t>10</t>
        </is>
      </c>
      <c r="E392" s="54" t="inlineStr">
        <is>
          <t>RECURSOS HUMANOS</t>
        </is>
      </c>
      <c r="F392" s="49" t="inlineStr">
        <is>
          <t>701001813</t>
        </is>
      </c>
      <c r="G392" s="54" t="inlineStr">
        <is>
          <t>LUANA KARINA KUSDRA</t>
        </is>
      </c>
      <c r="H392" s="49" t="inlineStr">
        <is>
          <t>41627173897</t>
        </is>
      </c>
      <c r="I392" s="55" t="n">
        <v>46235</v>
      </c>
      <c r="J392" s="84" t="n">
        <v>48.24</v>
      </c>
      <c r="K392" s="57" t="inlineStr">
        <is>
          <t>ATIVA</t>
        </is>
      </c>
      <c r="L392" s="58" t="n">
        <v>46252</v>
      </c>
    </row>
    <row r="393">
      <c r="A393" s="54" t="n">
        <v>212522538</v>
      </c>
      <c r="B393" s="54" t="inlineStr">
        <is>
          <t>VIVO</t>
        </is>
      </c>
      <c r="C393" s="54" t="n">
        <v>15998566427</v>
      </c>
      <c r="D393" s="54" t="inlineStr">
        <is>
          <t>42300</t>
        </is>
      </c>
      <c r="E393" s="54" t="inlineStr">
        <is>
          <t>GESTAO OP CACAPAVA</t>
        </is>
      </c>
      <c r="F393" s="49" t="inlineStr">
        <is>
          <t>010420312</t>
        </is>
      </c>
      <c r="G393" s="54" t="inlineStr">
        <is>
          <t>LUCAS DE ANDRADE FRANCA</t>
        </is>
      </c>
      <c r="H393" s="49" t="inlineStr">
        <is>
          <t>36983030869</t>
        </is>
      </c>
      <c r="I393" s="55" t="n">
        <v>46235</v>
      </c>
      <c r="J393" s="84" t="n">
        <v>39.59</v>
      </c>
      <c r="K393" s="57" t="inlineStr">
        <is>
          <t>ATIVA</t>
        </is>
      </c>
      <c r="L393" s="58" t="n">
        <v>46252</v>
      </c>
    </row>
    <row r="394">
      <c r="A394" s="54" t="n">
        <v>212522538</v>
      </c>
      <c r="B394" s="54" t="inlineStr">
        <is>
          <t>VIVO</t>
        </is>
      </c>
      <c r="C394" s="54" t="n">
        <v>15997537469</v>
      </c>
      <c r="D394" s="54" t="n">
        <v>42550</v>
      </c>
      <c r="E394" s="54" t="inlineStr">
        <is>
          <t>C02 - SUZANO CBO</t>
        </is>
      </c>
      <c r="F394" s="49" t="inlineStr">
        <is>
          <t>010214337</t>
        </is>
      </c>
      <c r="G394" s="54" t="inlineStr">
        <is>
          <t>LUCAS DE OLIVEIRA RAMOS</t>
        </is>
      </c>
      <c r="H394" s="49" t="inlineStr">
        <is>
          <t>48916931851</t>
        </is>
      </c>
      <c r="I394" s="55" t="n">
        <v>46235</v>
      </c>
      <c r="J394" s="84" t="n">
        <v>39.59</v>
      </c>
      <c r="K394" s="57" t="inlineStr">
        <is>
          <t>ATIVA</t>
        </is>
      </c>
      <c r="L394" s="58" t="n">
        <v>46252</v>
      </c>
    </row>
    <row r="395">
      <c r="A395" s="54" t="n">
        <v>212522538</v>
      </c>
      <c r="B395" s="54" t="inlineStr">
        <is>
          <t>VIVO</t>
        </is>
      </c>
      <c r="C395" s="54" t="n">
        <v>15997145303</v>
      </c>
      <c r="D395" s="54" t="inlineStr">
        <is>
          <t>2148</t>
        </is>
      </c>
      <c r="E395" s="54" t="inlineStr">
        <is>
          <t>SSMA BRACELL CBO</t>
        </is>
      </c>
      <c r="F395" s="49" t="inlineStr">
        <is>
          <t>010820409</t>
        </is>
      </c>
      <c r="G395" s="54" t="inlineStr">
        <is>
          <t>LUCAS FELIPE SOARES DE SALES OLIVEIRA</t>
        </is>
      </c>
      <c r="H395" s="49" t="inlineStr">
        <is>
          <t>42224169833</t>
        </is>
      </c>
      <c r="I395" s="55" t="n">
        <v>46235</v>
      </c>
      <c r="J395" s="84" t="n">
        <v>39.59</v>
      </c>
      <c r="K395" s="57" t="inlineStr">
        <is>
          <t>ATIVA</t>
        </is>
      </c>
      <c r="L395" s="58" t="n">
        <v>46252</v>
      </c>
    </row>
    <row r="396">
      <c r="A396" s="54" t="n">
        <v>212522538</v>
      </c>
      <c r="B396" s="54" t="inlineStr">
        <is>
          <t>VIVO</t>
        </is>
      </c>
      <c r="C396" s="54" t="n">
        <v>15997084685</v>
      </c>
      <c r="D396" s="54" t="inlineStr">
        <is>
          <t>41200</t>
        </is>
      </c>
      <c r="E396" s="54" t="inlineStr">
        <is>
          <t>GESTAO OP DUARTINA</t>
        </is>
      </c>
      <c r="F396" s="69" t="inlineStr">
        <is>
          <t>010317480</t>
        </is>
      </c>
      <c r="G396" s="54" t="inlineStr">
        <is>
          <t>LUCAS FOGANHOLI FERNANDES</t>
        </is>
      </c>
      <c r="H396" s="49" t="inlineStr">
        <is>
          <t>49989805806</t>
        </is>
      </c>
      <c r="I396" s="55" t="n">
        <v>46235</v>
      </c>
      <c r="J396" s="84" t="n">
        <v>39.59</v>
      </c>
      <c r="K396" s="57" t="inlineStr">
        <is>
          <t>ATIVA</t>
        </is>
      </c>
      <c r="L396" s="58" t="n">
        <v>46252</v>
      </c>
    </row>
    <row r="397">
      <c r="A397" s="54" t="n">
        <v>212522538</v>
      </c>
      <c r="B397" s="54" t="inlineStr">
        <is>
          <t>VIVO</t>
        </is>
      </c>
      <c r="C397" s="54" t="n">
        <v>15997445206</v>
      </c>
      <c r="D397" s="54" t="inlineStr">
        <is>
          <t>41200</t>
        </is>
      </c>
      <c r="E397" s="54" t="inlineStr">
        <is>
          <t>GESTAO OP DUARTINA</t>
        </is>
      </c>
      <c r="F397" s="49" t="inlineStr">
        <is>
          <t>010317480</t>
        </is>
      </c>
      <c r="G397" s="54" t="inlineStr">
        <is>
          <t>LUCAS FOGANHOLI FERNANDES</t>
        </is>
      </c>
      <c r="H397" s="49" t="inlineStr">
        <is>
          <t>49989805806</t>
        </is>
      </c>
      <c r="I397" s="55" t="n">
        <v>46235</v>
      </c>
      <c r="J397" s="84" t="n">
        <v>39.59</v>
      </c>
      <c r="K397" s="57" t="inlineStr">
        <is>
          <t>ATIVA</t>
        </is>
      </c>
      <c r="L397" s="58" t="n">
        <v>46252</v>
      </c>
    </row>
    <row r="398">
      <c r="A398" s="54" t="n">
        <v>212522538</v>
      </c>
      <c r="B398" s="54" t="inlineStr">
        <is>
          <t>VIVO</t>
        </is>
      </c>
      <c r="C398" s="54" t="n">
        <v>15997098873</v>
      </c>
      <c r="D398" s="54" t="inlineStr">
        <is>
          <t>41200</t>
        </is>
      </c>
      <c r="E398" s="54" t="inlineStr">
        <is>
          <t>GESTAO OP DUARTINA</t>
        </is>
      </c>
      <c r="F398" s="49" t="inlineStr">
        <is>
          <t>010317480</t>
        </is>
      </c>
      <c r="G398" s="54" t="inlineStr">
        <is>
          <t>LUCAS FOGANHOLI FERNANDES</t>
        </is>
      </c>
      <c r="H398" s="49" t="inlineStr">
        <is>
          <t>49989805806</t>
        </is>
      </c>
      <c r="I398" s="55" t="n">
        <v>46235</v>
      </c>
      <c r="J398" s="84" t="n">
        <v>39.59</v>
      </c>
      <c r="K398" s="57" t="inlineStr">
        <is>
          <t>ATIVA</t>
        </is>
      </c>
      <c r="L398" s="58" t="n">
        <v>46252</v>
      </c>
    </row>
    <row r="399">
      <c r="A399" s="54" t="inlineStr">
        <is>
          <t>71768171</t>
        </is>
      </c>
      <c r="B399" s="54" t="inlineStr">
        <is>
          <t>TIM</t>
        </is>
      </c>
      <c r="C399" s="54" t="inlineStr">
        <is>
          <t>15981471980</t>
        </is>
      </c>
      <c r="D399" s="54" t="inlineStr">
        <is>
          <t>50</t>
        </is>
      </c>
      <c r="E399" s="54" t="inlineStr">
        <is>
          <t>GESTAO OP OESTE</t>
        </is>
      </c>
      <c r="F399" s="49" t="inlineStr">
        <is>
          <t>701001703</t>
        </is>
      </c>
      <c r="G399" s="54" t="inlineStr">
        <is>
          <t>LUCAS EDUARDO DOS SANTOS REIS</t>
        </is>
      </c>
      <c r="H399" s="49" t="inlineStr">
        <is>
          <t>11625632908</t>
        </is>
      </c>
      <c r="I399" s="55" t="n">
        <v>46235</v>
      </c>
      <c r="J399" s="84" t="n">
        <v>32</v>
      </c>
      <c r="K399" s="57" t="inlineStr">
        <is>
          <t>ATIVA</t>
        </is>
      </c>
      <c r="L399" s="58" t="n">
        <v>46252</v>
      </c>
    </row>
    <row r="400">
      <c r="A400" s="54" t="n">
        <v>212522538</v>
      </c>
      <c r="B400" s="54" t="inlineStr">
        <is>
          <t>VIVO</t>
        </is>
      </c>
      <c r="C400" s="54" t="n">
        <v>15998116256</v>
      </c>
      <c r="D400" s="54" t="inlineStr">
        <is>
          <t>42400</t>
        </is>
      </c>
      <c r="E400" s="54" t="inlineStr">
        <is>
          <t>GESTAO OP SMA</t>
        </is>
      </c>
      <c r="F400" s="49" t="inlineStr">
        <is>
          <t>010219278</t>
        </is>
      </c>
      <c r="G400" s="54" t="inlineStr">
        <is>
          <t>LUCAS GABRIEL COELHO SOARES FERREIRA</t>
        </is>
      </c>
      <c r="H400" s="49" t="inlineStr">
        <is>
          <t>51620844842</t>
        </is>
      </c>
      <c r="I400" s="55" t="n">
        <v>46235</v>
      </c>
      <c r="J400" s="84" t="n">
        <v>39.59</v>
      </c>
      <c r="K400" s="57" t="inlineStr">
        <is>
          <t>ATIVA</t>
        </is>
      </c>
      <c r="L400" s="58" t="n">
        <v>46252</v>
      </c>
    </row>
    <row r="401">
      <c r="A401" s="54" t="n">
        <v>212522538</v>
      </c>
      <c r="B401" s="54" t="inlineStr">
        <is>
          <t>VIVO</t>
        </is>
      </c>
      <c r="C401" s="54" t="n">
        <v>67998436458</v>
      </c>
      <c r="D401" s="54" t="inlineStr">
        <is>
          <t>2000</t>
        </is>
      </c>
      <c r="E401" s="54" t="inlineStr">
        <is>
          <t>GESTAO MANUTENCAO</t>
        </is>
      </c>
      <c r="F401" s="49" t="inlineStr">
        <is>
          <t>010316029</t>
        </is>
      </c>
      <c r="G401" s="54" t="inlineStr">
        <is>
          <t>LUCAS MOREIRA DE SOUZA</t>
        </is>
      </c>
      <c r="H401" s="49" t="inlineStr">
        <is>
          <t>49536526816</t>
        </is>
      </c>
      <c r="I401" s="55" t="n">
        <v>46235</v>
      </c>
      <c r="J401" s="84" t="n">
        <v>39.59</v>
      </c>
      <c r="K401" s="57" t="inlineStr">
        <is>
          <t>ATIVA</t>
        </is>
      </c>
      <c r="L401" s="58" t="n">
        <v>46252</v>
      </c>
    </row>
    <row r="402">
      <c r="A402" s="54" t="n">
        <v>212522538</v>
      </c>
      <c r="B402" s="54" t="inlineStr">
        <is>
          <t>VIVO</t>
        </is>
      </c>
      <c r="C402" s="54" t="n">
        <v>67998215752</v>
      </c>
      <c r="D402" s="54" t="n">
        <v>32301</v>
      </c>
      <c r="E402" s="54" t="inlineStr">
        <is>
          <t>C07 - SUZANO MANUTENCAO TRES LAGOAS</t>
        </is>
      </c>
      <c r="F402" s="49" t="inlineStr">
        <is>
          <t>210106622</t>
        </is>
      </c>
      <c r="G402" s="54" t="inlineStr">
        <is>
          <t>LUCAS PIMENTA PEREIRA</t>
        </is>
      </c>
      <c r="H402" s="49" t="inlineStr">
        <is>
          <t>04000929135</t>
        </is>
      </c>
      <c r="I402" s="55" t="n">
        <v>46235</v>
      </c>
      <c r="J402" s="84" t="n">
        <v>39.59</v>
      </c>
      <c r="K402" s="57" t="inlineStr">
        <is>
          <t>ATIVA</t>
        </is>
      </c>
      <c r="L402" s="58" t="n">
        <v>46252</v>
      </c>
    </row>
    <row r="403">
      <c r="A403" s="54" t="n">
        <v>212522538</v>
      </c>
      <c r="B403" s="54" t="inlineStr">
        <is>
          <t>VIVO</t>
        </is>
      </c>
      <c r="C403" s="54" t="n">
        <v>67998402926</v>
      </c>
      <c r="D403" s="54" t="inlineStr">
        <is>
          <t>32301</t>
        </is>
      </c>
      <c r="E403" s="54" t="inlineStr">
        <is>
          <t>C07 - SUZANO MANUTENCAO TRES LAGOAS</t>
        </is>
      </c>
      <c r="F403" s="49" t="inlineStr">
        <is>
          <t>210106622</t>
        </is>
      </c>
      <c r="G403" s="54" t="inlineStr">
        <is>
          <t>LUCAS PIMENTA PEREIRA</t>
        </is>
      </c>
      <c r="H403" s="49" t="inlineStr">
        <is>
          <t>04000929135</t>
        </is>
      </c>
      <c r="I403" s="55" t="n">
        <v>46235</v>
      </c>
      <c r="J403" s="84" t="n">
        <v>54.63</v>
      </c>
      <c r="K403" s="57" t="inlineStr">
        <is>
          <t>ATIVA</t>
        </is>
      </c>
      <c r="L403" s="58" t="n">
        <v>46252</v>
      </c>
    </row>
    <row r="404">
      <c r="A404" s="54" t="n">
        <v>212522538</v>
      </c>
      <c r="B404" s="54" t="inlineStr">
        <is>
          <t>VIVO</t>
        </is>
      </c>
      <c r="C404" s="54" t="n">
        <v>15998397924</v>
      </c>
      <c r="D404" s="54" t="inlineStr">
        <is>
          <t>12</t>
        </is>
      </c>
      <c r="E404" s="54" t="inlineStr">
        <is>
          <t>SUPRIMENTOS E FROTAS</t>
        </is>
      </c>
      <c r="F404" s="49" t="inlineStr">
        <is>
          <t>010622417</t>
        </is>
      </c>
      <c r="G404" s="54" t="inlineStr">
        <is>
          <t>LUCAS PRANCHES PONTES</t>
        </is>
      </c>
      <c r="H404" s="49" t="inlineStr">
        <is>
          <t>53506858807</t>
        </is>
      </c>
      <c r="I404" s="55" t="n">
        <v>46235</v>
      </c>
      <c r="J404" s="84" t="n">
        <v>39.59</v>
      </c>
      <c r="K404" s="57" t="inlineStr">
        <is>
          <t>ATIVA</t>
        </is>
      </c>
      <c r="L404" s="58" t="n">
        <v>46252</v>
      </c>
    </row>
    <row r="405">
      <c r="A405" s="54" t="n">
        <v>212522538</v>
      </c>
      <c r="B405" s="54" t="inlineStr">
        <is>
          <t>VIVO</t>
        </is>
      </c>
      <c r="C405" s="54" t="n">
        <v>15997885768</v>
      </c>
      <c r="D405" s="54" t="inlineStr">
        <is>
          <t>12</t>
        </is>
      </c>
      <c r="E405" s="54" t="inlineStr">
        <is>
          <t>SUPRIMENTOS E FROTAS</t>
        </is>
      </c>
      <c r="F405" s="49" t="inlineStr">
        <is>
          <t>010620694</t>
        </is>
      </c>
      <c r="G405" s="54" t="inlineStr">
        <is>
          <t>LUCAS STTEVAN RAMOS DAS DORES</t>
        </is>
      </c>
      <c r="H405" s="49" t="inlineStr">
        <is>
          <t>48454735852</t>
        </is>
      </c>
      <c r="I405" s="55" t="n">
        <v>46235</v>
      </c>
      <c r="J405" s="84" t="n">
        <v>39.59</v>
      </c>
      <c r="K405" s="57" t="inlineStr">
        <is>
          <t>ATIVA</t>
        </is>
      </c>
      <c r="L405" s="58" t="n">
        <v>46252</v>
      </c>
    </row>
    <row r="406">
      <c r="A406" s="54" t="inlineStr">
        <is>
          <t>71768171</t>
        </is>
      </c>
      <c r="B406" s="54" t="inlineStr">
        <is>
          <t>TIM</t>
        </is>
      </c>
      <c r="C406" s="54" t="inlineStr">
        <is>
          <t>15981632330</t>
        </is>
      </c>
      <c r="D406" s="54" t="inlineStr">
        <is>
          <t>51301</t>
        </is>
      </c>
      <c r="E406" s="54" t="inlineStr">
        <is>
          <t>C13 - KLABIN CURIUVA</t>
        </is>
      </c>
      <c r="F406" s="49" t="n"/>
      <c r="G406" s="54" t="inlineStr">
        <is>
          <t>Lucas Oliveira De Lima</t>
        </is>
      </c>
      <c r="H406" s="49" t="n"/>
      <c r="I406" s="55" t="n">
        <v>46235</v>
      </c>
      <c r="J406" s="84" t="n">
        <v>39.24</v>
      </c>
      <c r="K406" s="54" t="inlineStr">
        <is>
          <t>VERIFICAR</t>
        </is>
      </c>
      <c r="L406" s="58" t="n">
        <v>46252</v>
      </c>
    </row>
    <row r="407">
      <c r="A407" s="54" t="n">
        <v>212522538</v>
      </c>
      <c r="B407" s="54" t="inlineStr">
        <is>
          <t>VIVO</t>
        </is>
      </c>
      <c r="C407" s="54" t="n">
        <v>67998295150</v>
      </c>
      <c r="D407" s="54" t="inlineStr">
        <is>
          <t>324</t>
        </is>
      </c>
      <c r="E407" s="54" t="inlineStr">
        <is>
          <t>QUALIDADE MS1</t>
        </is>
      </c>
      <c r="F407" s="62" t="inlineStr">
        <is>
          <t>210101023</t>
        </is>
      </c>
      <c r="G407" s="54" t="inlineStr">
        <is>
          <t>LUCIANO MOREIRA SANTOS</t>
        </is>
      </c>
      <c r="H407" s="49" t="inlineStr">
        <is>
          <t>05994959103</t>
        </is>
      </c>
      <c r="I407" s="55" t="n">
        <v>46235</v>
      </c>
      <c r="J407" s="84" t="n">
        <v>39.59</v>
      </c>
      <c r="K407" s="57" t="inlineStr">
        <is>
          <t>ATIVA</t>
        </is>
      </c>
      <c r="L407" s="58" t="n">
        <v>46252</v>
      </c>
    </row>
    <row r="408">
      <c r="A408" s="54" t="n">
        <v>212522538</v>
      </c>
      <c r="B408" s="54" t="inlineStr">
        <is>
          <t>VIVO</t>
        </is>
      </c>
      <c r="C408" s="54" t="n">
        <v>15998015661</v>
      </c>
      <c r="D408" s="54" t="inlineStr">
        <is>
          <t>53290</t>
        </is>
      </c>
      <c r="E408" s="54" t="inlineStr">
        <is>
          <t>C08 - CMPC SAO GABRIEL MECANIZADO</t>
        </is>
      </c>
      <c r="F408" s="49" t="n">
        <v>410101277</v>
      </c>
      <c r="G408" s="49" t="inlineStr">
        <is>
          <t>LUCIANO PEDROZO GOUVEA</t>
        </is>
      </c>
      <c r="H408" s="49" t="inlineStr">
        <is>
          <t>99076691053</t>
        </is>
      </c>
      <c r="I408" s="55" t="n">
        <v>46235</v>
      </c>
      <c r="J408" s="84" t="n">
        <v>39.59</v>
      </c>
      <c r="K408" s="57" t="inlineStr">
        <is>
          <t>ATIVA</t>
        </is>
      </c>
      <c r="L408" s="58" t="n">
        <v>46252</v>
      </c>
    </row>
    <row r="409">
      <c r="A409" s="54" t="n">
        <v>212522538</v>
      </c>
      <c r="B409" s="54" t="inlineStr">
        <is>
          <t>VIVO</t>
        </is>
      </c>
      <c r="C409" s="54" t="n">
        <v>15998229532</v>
      </c>
      <c r="D409" s="54" t="inlineStr">
        <is>
          <t>42401</t>
        </is>
      </c>
      <c r="E409" s="54" t="inlineStr">
        <is>
          <t>C02 - SUZANO SMA</t>
        </is>
      </c>
      <c r="F409" s="62" t="inlineStr">
        <is>
          <t>010303845</t>
        </is>
      </c>
      <c r="G409" s="54" t="inlineStr">
        <is>
          <t>LUCIANO RODRIGUES ALVES</t>
        </is>
      </c>
      <c r="H409" s="49" t="inlineStr">
        <is>
          <t>28276160840</t>
        </is>
      </c>
      <c r="I409" s="55" t="n">
        <v>46235</v>
      </c>
      <c r="J409" s="84" t="n">
        <v>39.59</v>
      </c>
      <c r="K409" s="57" t="inlineStr">
        <is>
          <t>ATIVA</t>
        </is>
      </c>
      <c r="L409" s="58" t="n">
        <v>46252</v>
      </c>
    </row>
    <row r="410">
      <c r="A410" s="54" t="n">
        <v>212522538</v>
      </c>
      <c r="B410" s="54" t="inlineStr">
        <is>
          <t>VIVO</t>
        </is>
      </c>
      <c r="C410" s="54" t="n">
        <v>15996688595</v>
      </c>
      <c r="D410" s="54" t="inlineStr">
        <is>
          <t>41601</t>
        </is>
      </c>
      <c r="E410" s="54" t="inlineStr">
        <is>
          <t>C03 - EUCATEX ITATINGA</t>
        </is>
      </c>
      <c r="F410" s="49" t="inlineStr">
        <is>
          <t>010321811</t>
        </is>
      </c>
      <c r="G410" s="54" t="inlineStr">
        <is>
          <t>LUIS ANTONIO CASTILLO PACHECO</t>
        </is>
      </c>
      <c r="H410" s="49" t="inlineStr">
        <is>
          <t>90039477835</t>
        </is>
      </c>
      <c r="I410" s="55" t="n">
        <v>46235</v>
      </c>
      <c r="J410" s="84" t="n">
        <v>39.59</v>
      </c>
      <c r="K410" s="57" t="inlineStr">
        <is>
          <t>ATIVA</t>
        </is>
      </c>
      <c r="L410" s="58" t="n">
        <v>46252</v>
      </c>
    </row>
    <row r="411">
      <c r="A411" s="54" t="n">
        <v>212522538</v>
      </c>
      <c r="B411" s="54" t="inlineStr">
        <is>
          <t>VIVO</t>
        </is>
      </c>
      <c r="C411" s="54" t="n">
        <v>15996259132</v>
      </c>
      <c r="D411" s="54" t="inlineStr">
        <is>
          <t>41601</t>
        </is>
      </c>
      <c r="E411" s="54" t="inlineStr">
        <is>
          <t>C03 - EUCATEX ITATINGA</t>
        </is>
      </c>
      <c r="F411" s="62" t="inlineStr">
        <is>
          <t>010321811</t>
        </is>
      </c>
      <c r="G411" s="54" t="inlineStr">
        <is>
          <t>LUIS ANTONIO CASTILLO PACHECO</t>
        </is>
      </c>
      <c r="H411" s="49" t="inlineStr">
        <is>
          <t>90039477835</t>
        </is>
      </c>
      <c r="I411" s="55" t="n">
        <v>46235</v>
      </c>
      <c r="J411" s="84" t="n">
        <v>39.59</v>
      </c>
      <c r="K411" s="57" t="inlineStr">
        <is>
          <t>ATIVA</t>
        </is>
      </c>
      <c r="L411" s="58" t="n">
        <v>46252</v>
      </c>
    </row>
    <row r="412">
      <c r="A412" s="54" t="n">
        <v>212522538</v>
      </c>
      <c r="B412" s="54" t="inlineStr">
        <is>
          <t>VIVO</t>
        </is>
      </c>
      <c r="C412" s="54" t="n">
        <v>15996329426</v>
      </c>
      <c r="D412" s="54" t="n">
        <v>13</v>
      </c>
      <c r="E412" s="54" t="inlineStr">
        <is>
          <t>DIRETORIA E AUDITORIA</t>
        </is>
      </c>
      <c r="F412" s="49" t="inlineStr">
        <is>
          <t>EM ESTOQUE</t>
        </is>
      </c>
      <c r="G412" s="54" t="inlineStr">
        <is>
          <t>EM ESTOQUE</t>
        </is>
      </c>
      <c r="H412" s="49" t="n"/>
      <c r="I412" s="55" t="n">
        <v>46235</v>
      </c>
      <c r="J412" s="84" t="n">
        <v>39.59</v>
      </c>
      <c r="K412" s="54" t="inlineStr">
        <is>
          <t>ESTOQUE</t>
        </is>
      </c>
      <c r="L412" s="58" t="n">
        <v>46252</v>
      </c>
    </row>
    <row r="413">
      <c r="A413" s="54" t="n">
        <v>212522538</v>
      </c>
      <c r="B413" s="54" t="inlineStr">
        <is>
          <t>VIVO</t>
        </is>
      </c>
      <c r="C413" s="54" t="n">
        <v>15991498106</v>
      </c>
      <c r="D413" s="54" t="n">
        <v>12</v>
      </c>
      <c r="E413" s="54" t="inlineStr">
        <is>
          <t>SUPRIMENTOS E FROTAS</t>
        </is>
      </c>
      <c r="F413" s="62" t="inlineStr">
        <is>
          <t>FORA SIGO</t>
        </is>
      </c>
      <c r="G413" s="54" t="inlineStr">
        <is>
          <t>LUIS FERNANDO RIBEIRO</t>
        </is>
      </c>
      <c r="H413" s="49" t="n"/>
      <c r="I413" s="55" t="n">
        <v>46235</v>
      </c>
      <c r="J413" s="84" t="n">
        <v>39.59</v>
      </c>
      <c r="K413" s="54" t="inlineStr">
        <is>
          <t>ATIVA</t>
        </is>
      </c>
      <c r="L413" s="58" t="n">
        <v>46252</v>
      </c>
    </row>
    <row r="414">
      <c r="A414" s="54" t="n">
        <v>212522538</v>
      </c>
      <c r="B414" s="54" t="inlineStr">
        <is>
          <t>VIVO</t>
        </is>
      </c>
      <c r="C414" s="54" t="n">
        <v>15997924068</v>
      </c>
      <c r="D414" s="54" t="inlineStr">
        <is>
          <t>53201</t>
        </is>
      </c>
      <c r="E414" s="54" t="inlineStr">
        <is>
          <t>C08 - CMPC SAO GABRIEL MANUAL</t>
        </is>
      </c>
      <c r="F414" s="49" t="inlineStr">
        <is>
          <t>410100144</t>
        </is>
      </c>
      <c r="G414" s="54" t="inlineStr">
        <is>
          <t>LUIS HENRIQUE DIAS SANTIAGO</t>
        </is>
      </c>
      <c r="H414" s="49" t="inlineStr">
        <is>
          <t>52159612049</t>
        </is>
      </c>
      <c r="I414" s="55" t="n">
        <v>46235</v>
      </c>
      <c r="J414" s="84" t="n">
        <v>39.59</v>
      </c>
      <c r="K414" s="57" t="inlineStr">
        <is>
          <t>ATIVA</t>
        </is>
      </c>
      <c r="L414" s="58" t="n">
        <v>46252</v>
      </c>
    </row>
    <row r="415">
      <c r="A415" s="54" t="n">
        <v>212522538</v>
      </c>
      <c r="B415" s="54" t="inlineStr">
        <is>
          <t>VIVO</t>
        </is>
      </c>
      <c r="C415" s="54" t="n">
        <v>15998260334</v>
      </c>
      <c r="D415" s="54" t="inlineStr">
        <is>
          <t>42550</t>
        </is>
      </c>
      <c r="E415" s="54" t="inlineStr">
        <is>
          <t>C02 - SUZANO CBO</t>
        </is>
      </c>
      <c r="F415" s="49" t="inlineStr">
        <is>
          <t>010314913</t>
        </is>
      </c>
      <c r="G415" s="54" t="inlineStr">
        <is>
          <t>LUIZ ANTONIO DE LARA</t>
        </is>
      </c>
      <c r="H415" s="49" t="inlineStr">
        <is>
          <t>39177821890</t>
        </is>
      </c>
      <c r="I415" s="55" t="n">
        <v>46235</v>
      </c>
      <c r="J415" s="84" t="n">
        <v>39.59</v>
      </c>
      <c r="K415" s="57" t="inlineStr">
        <is>
          <t>ATIVA</t>
        </is>
      </c>
      <c r="L415" s="58" t="n">
        <v>46252</v>
      </c>
    </row>
    <row r="416">
      <c r="A416" s="54" t="n">
        <v>212522538</v>
      </c>
      <c r="B416" s="54" t="inlineStr">
        <is>
          <t>VIVO</t>
        </is>
      </c>
      <c r="C416" s="54" t="n">
        <v>51997442688</v>
      </c>
      <c r="D416" s="54" t="inlineStr">
        <is>
          <t>53201</t>
        </is>
      </c>
      <c r="E416" s="54" t="inlineStr">
        <is>
          <t>C08 - CMPC SAO GABRIEL MANUAL</t>
        </is>
      </c>
      <c r="F416" s="49" t="inlineStr">
        <is>
          <t>410100170</t>
        </is>
      </c>
      <c r="G416" s="54" t="inlineStr">
        <is>
          <t>LUIZ ANTONIO DORNELES NUNES</t>
        </is>
      </c>
      <c r="H416" s="49" t="inlineStr">
        <is>
          <t>88208532053</t>
        </is>
      </c>
      <c r="I416" s="55" t="n">
        <v>46235</v>
      </c>
      <c r="J416" s="84" t="n">
        <v>39.59</v>
      </c>
      <c r="K416" s="57" t="inlineStr">
        <is>
          <t>ATIVA</t>
        </is>
      </c>
      <c r="L416" s="58" t="n">
        <v>46252</v>
      </c>
    </row>
    <row r="417">
      <c r="A417" s="54" t="n">
        <v>212522538</v>
      </c>
      <c r="B417" s="54" t="inlineStr">
        <is>
          <t>VIVO</t>
        </is>
      </c>
      <c r="C417" s="54" t="n">
        <v>15997988515</v>
      </c>
      <c r="D417" s="54" t="inlineStr">
        <is>
          <t>32201</t>
        </is>
      </c>
      <c r="E417" s="54" t="inlineStr">
        <is>
          <t>C01 - SUZANO MANUTENCAO AGUA CLARA</t>
        </is>
      </c>
      <c r="F417" s="62" t="inlineStr">
        <is>
          <t>210102552</t>
        </is>
      </c>
      <c r="G417" s="54" t="inlineStr">
        <is>
          <t>LUIZ CARLOS YUKISADA DE SOUZA</t>
        </is>
      </c>
      <c r="H417" s="49" t="inlineStr">
        <is>
          <t>36141937802</t>
        </is>
      </c>
      <c r="I417" s="55" t="n">
        <v>46235</v>
      </c>
      <c r="J417" s="84" t="n">
        <v>39.59</v>
      </c>
      <c r="K417" s="57" t="inlineStr">
        <is>
          <t>ATIVA</t>
        </is>
      </c>
      <c r="L417" s="58" t="n">
        <v>46252</v>
      </c>
    </row>
    <row r="418">
      <c r="A418" s="54" t="n">
        <v>212522538</v>
      </c>
      <c r="B418" s="54" t="inlineStr">
        <is>
          <t>VIVO</t>
        </is>
      </c>
      <c r="C418" s="54" t="n">
        <v>15997501833</v>
      </c>
      <c r="D418" s="54" t="n">
        <v>41201</v>
      </c>
      <c r="E418" s="54" t="inlineStr">
        <is>
          <t>C05 - BRACELL DUARTINA</t>
        </is>
      </c>
      <c r="F418" s="49" t="inlineStr">
        <is>
          <t>010313840</t>
        </is>
      </c>
      <c r="G418" s="54" t="inlineStr">
        <is>
          <t>LUIZ DONIZETE RODRIGUES</t>
        </is>
      </c>
      <c r="H418" s="49" t="inlineStr">
        <is>
          <t>11643232886</t>
        </is>
      </c>
      <c r="I418" s="55" t="n">
        <v>46235</v>
      </c>
      <c r="J418" s="84" t="n">
        <v>39.59</v>
      </c>
      <c r="K418" s="57" t="inlineStr">
        <is>
          <t>ATIVA</t>
        </is>
      </c>
      <c r="L418" s="58" t="n">
        <v>46252</v>
      </c>
    </row>
    <row r="419">
      <c r="A419" s="54" t="n">
        <v>212522538</v>
      </c>
      <c r="B419" s="54" t="inlineStr">
        <is>
          <t>VIVO</t>
        </is>
      </c>
      <c r="C419" s="54" t="n">
        <v>67992452273</v>
      </c>
      <c r="D419" s="54" t="inlineStr">
        <is>
          <t>2000</t>
        </is>
      </c>
      <c r="E419" s="54" t="inlineStr">
        <is>
          <t>GESTAO MANUTENCAO</t>
        </is>
      </c>
      <c r="F419" s="49" t="inlineStr">
        <is>
          <t>010617909</t>
        </is>
      </c>
      <c r="G419" s="54" t="inlineStr">
        <is>
          <t>LUIZ MIGUEL SILVERIO</t>
        </is>
      </c>
      <c r="H419" s="49" t="inlineStr">
        <is>
          <t>46519410870</t>
        </is>
      </c>
      <c r="I419" s="55" t="n">
        <v>46235</v>
      </c>
      <c r="J419" s="84" t="n">
        <v>54.63</v>
      </c>
      <c r="K419" s="57" t="inlineStr">
        <is>
          <t>ATIVA</t>
        </is>
      </c>
      <c r="L419" s="58" t="n">
        <v>46252</v>
      </c>
    </row>
    <row r="420">
      <c r="A420" s="54" t="n">
        <v>212522538</v>
      </c>
      <c r="B420" s="54" t="inlineStr">
        <is>
          <t>VIVO</t>
        </is>
      </c>
      <c r="C420" s="54" t="n">
        <v>15997079218</v>
      </c>
      <c r="D420" s="54" t="inlineStr">
        <is>
          <t>41400</t>
        </is>
      </c>
      <c r="E420" s="54" t="inlineStr">
        <is>
          <t>GESTAO OP DOURADO</t>
        </is>
      </c>
      <c r="F420" s="49" t="inlineStr">
        <is>
          <t>010317287</t>
        </is>
      </c>
      <c r="G420" s="54" t="inlineStr">
        <is>
          <t>LYANDRA GABRIELE MUNHOZ</t>
        </is>
      </c>
      <c r="H420" s="49" t="inlineStr">
        <is>
          <t>47519909859</t>
        </is>
      </c>
      <c r="I420" s="55" t="n">
        <v>46235</v>
      </c>
      <c r="J420" s="84" t="n">
        <v>39.59</v>
      </c>
      <c r="K420" s="57" t="inlineStr">
        <is>
          <t>ATIVA</t>
        </is>
      </c>
      <c r="L420" s="58" t="n">
        <v>46252</v>
      </c>
    </row>
    <row r="421">
      <c r="A421" s="54" t="n">
        <v>212522538</v>
      </c>
      <c r="B421" s="54" t="inlineStr">
        <is>
          <t>VIVO</t>
        </is>
      </c>
      <c r="C421" s="49" t="inlineStr">
        <is>
          <t>67999891287</t>
        </is>
      </c>
      <c r="D421" s="54" t="n">
        <v>323</v>
      </c>
      <c r="E421" s="54" t="inlineStr">
        <is>
          <t>TRÊS LAGOAS</t>
        </is>
      </c>
      <c r="F421" s="49" t="inlineStr">
        <is>
          <t>FROTA</t>
        </is>
      </c>
      <c r="G421" s="54" t="inlineStr">
        <is>
          <t>Maicon Ferreira de Carvalho - FUTURA GENE</t>
        </is>
      </c>
      <c r="H421" s="49" t="n"/>
      <c r="I421" s="55" t="n">
        <v>46235</v>
      </c>
      <c r="J421" s="84" t="n">
        <v>54.63</v>
      </c>
      <c r="K421" s="54" t="inlineStr">
        <is>
          <t>ATIVA</t>
        </is>
      </c>
      <c r="L421" s="58" t="n">
        <v>46252</v>
      </c>
    </row>
    <row r="422">
      <c r="A422" s="54" t="n">
        <v>212522538</v>
      </c>
      <c r="B422" s="54" t="inlineStr">
        <is>
          <t>VIVO</t>
        </is>
      </c>
      <c r="C422" s="54" t="n">
        <v>15998307823</v>
      </c>
      <c r="D422" s="54" t="inlineStr">
        <is>
          <t>12</t>
        </is>
      </c>
      <c r="E422" s="54" t="inlineStr">
        <is>
          <t>SUPRIMENTOS E FROTAS</t>
        </is>
      </c>
      <c r="F422" s="49" t="inlineStr">
        <is>
          <t>010318013</t>
        </is>
      </c>
      <c r="G422" s="54" t="inlineStr">
        <is>
          <t>MAIZE CRISTINA TALAMONTE</t>
        </is>
      </c>
      <c r="H422" s="49" t="inlineStr">
        <is>
          <t>33157001841</t>
        </is>
      </c>
      <c r="I422" s="55" t="n">
        <v>46235</v>
      </c>
      <c r="J422" s="84" t="n">
        <v>39.59</v>
      </c>
      <c r="K422" s="57" t="inlineStr">
        <is>
          <t>ATIVA</t>
        </is>
      </c>
      <c r="L422" s="58" t="n">
        <v>46252</v>
      </c>
    </row>
    <row r="423">
      <c r="A423" s="54" t="n">
        <v>212522538</v>
      </c>
      <c r="B423" s="54" t="inlineStr">
        <is>
          <t>VIVO</t>
        </is>
      </c>
      <c r="C423" s="54" t="n">
        <v>15997885682</v>
      </c>
      <c r="D423" s="54" t="inlineStr">
        <is>
          <t>2071</t>
        </is>
      </c>
      <c r="E423" s="54" t="inlineStr">
        <is>
          <t>OFICINA SAO GABRIEL</t>
        </is>
      </c>
      <c r="F423" s="49" t="inlineStr">
        <is>
          <t>410100221</t>
        </is>
      </c>
      <c r="G423" s="54" t="inlineStr">
        <is>
          <t>MANOEL ANTONIO MULLER PEREIRA</t>
        </is>
      </c>
      <c r="H423" s="49" t="inlineStr">
        <is>
          <t>89923235068</t>
        </is>
      </c>
      <c r="I423" s="55" t="n">
        <v>46235</v>
      </c>
      <c r="J423" s="84" t="n">
        <v>39.59</v>
      </c>
      <c r="K423" s="57" t="inlineStr">
        <is>
          <t>ATIVA</t>
        </is>
      </c>
      <c r="L423" s="58" t="n">
        <v>46252</v>
      </c>
    </row>
    <row r="424">
      <c r="A424" s="54" t="n">
        <v>212522538</v>
      </c>
      <c r="B424" s="54" t="inlineStr">
        <is>
          <t>VIVO</t>
        </is>
      </c>
      <c r="C424" s="54" t="n">
        <v>67996921202</v>
      </c>
      <c r="D424" s="54" t="inlineStr">
        <is>
          <t>2122</t>
        </is>
      </c>
      <c r="E424" s="54" t="inlineStr">
        <is>
          <t>SSMA TRES LAGOAS</t>
        </is>
      </c>
      <c r="F424" s="49" t="inlineStr">
        <is>
          <t>210104058</t>
        </is>
      </c>
      <c r="G424" s="54" t="inlineStr">
        <is>
          <t>MARCEL GARCIA DA SILVA</t>
        </is>
      </c>
      <c r="H424" s="49" t="inlineStr">
        <is>
          <t>02305257171</t>
        </is>
      </c>
      <c r="I424" s="55" t="n">
        <v>46235</v>
      </c>
      <c r="J424" s="84" t="n">
        <v>54.63</v>
      </c>
      <c r="K424" s="57" t="inlineStr">
        <is>
          <t>ATIVA</t>
        </is>
      </c>
      <c r="L424" s="58" t="n">
        <v>46252</v>
      </c>
    </row>
    <row r="425">
      <c r="A425" s="54" t="n">
        <v>212522538</v>
      </c>
      <c r="B425" s="54" t="inlineStr">
        <is>
          <t>VIVO</t>
        </is>
      </c>
      <c r="C425" s="54" t="n">
        <v>15996494138</v>
      </c>
      <c r="D425" s="54" t="inlineStr">
        <is>
          <t>2130</t>
        </is>
      </c>
      <c r="E425" s="54" t="inlineStr">
        <is>
          <t>SSMA SP3</t>
        </is>
      </c>
      <c r="F425" s="62" t="inlineStr">
        <is>
          <t>010318953</t>
        </is>
      </c>
      <c r="G425" s="54" t="inlineStr">
        <is>
          <t>MARCELA FABILAINE ALBERTO</t>
        </is>
      </c>
      <c r="H425" s="49" t="inlineStr">
        <is>
          <t>43445269882</t>
        </is>
      </c>
      <c r="I425" s="55" t="n">
        <v>46235</v>
      </c>
      <c r="J425" s="84" t="n">
        <v>39.59</v>
      </c>
      <c r="K425" s="57" t="inlineStr">
        <is>
          <t>ATIVA</t>
        </is>
      </c>
      <c r="L425" s="58" t="n">
        <v>46252</v>
      </c>
    </row>
    <row r="426">
      <c r="A426" s="54" t="n">
        <v>212522538</v>
      </c>
      <c r="B426" s="54" t="inlineStr">
        <is>
          <t>VIVO</t>
        </is>
      </c>
      <c r="C426" s="54" t="n">
        <v>15998219857</v>
      </c>
      <c r="D426" s="54" t="inlineStr">
        <is>
          <t>2144</t>
        </is>
      </c>
      <c r="E426" s="54" t="inlineStr">
        <is>
          <t>SSMA SUZANO CBO</t>
        </is>
      </c>
      <c r="F426" s="49" t="inlineStr">
        <is>
          <t>010221525</t>
        </is>
      </c>
      <c r="G426" s="54" t="inlineStr">
        <is>
          <t>MARCELO BRAZ FERREIRA</t>
        </is>
      </c>
      <c r="H426" s="49" t="inlineStr">
        <is>
          <t>33188994885</t>
        </is>
      </c>
      <c r="I426" s="55" t="n">
        <v>46235</v>
      </c>
      <c r="J426" s="84" t="n">
        <v>39.59</v>
      </c>
      <c r="K426" s="57" t="inlineStr">
        <is>
          <t>ATIVA</t>
        </is>
      </c>
      <c r="L426" s="58" t="n">
        <v>46252</v>
      </c>
    </row>
    <row r="427">
      <c r="A427" s="54" t="n">
        <v>212522538</v>
      </c>
      <c r="B427" s="54" t="inlineStr">
        <is>
          <t>VIVO</t>
        </is>
      </c>
      <c r="C427" s="54" t="n">
        <v>13996455058</v>
      </c>
      <c r="D427" s="54" t="inlineStr">
        <is>
          <t>42201</t>
        </is>
      </c>
      <c r="E427" s="54" t="inlineStr">
        <is>
          <t>C04 - SUZANO SANTA BRANCA</t>
        </is>
      </c>
      <c r="F427" s="62" t="inlineStr">
        <is>
          <t>010417231</t>
        </is>
      </c>
      <c r="G427" s="54" t="inlineStr">
        <is>
          <t>MARCELO CAMILO DOS SANTOS</t>
        </is>
      </c>
      <c r="H427" s="49" t="inlineStr">
        <is>
          <t>45560632805</t>
        </is>
      </c>
      <c r="I427" s="55" t="n">
        <v>46235</v>
      </c>
      <c r="J427" s="84" t="n">
        <v>39.59</v>
      </c>
      <c r="K427" s="57" t="inlineStr">
        <is>
          <t>ATIVA</t>
        </is>
      </c>
      <c r="L427" s="58" t="n">
        <v>46252</v>
      </c>
    </row>
    <row r="428">
      <c r="A428" s="54" t="inlineStr">
        <is>
          <t>71768171</t>
        </is>
      </c>
      <c r="B428" s="54" t="inlineStr">
        <is>
          <t>TIM</t>
        </is>
      </c>
      <c r="C428" s="54" t="inlineStr">
        <is>
          <t>15981840078</t>
        </is>
      </c>
      <c r="D428" s="54" t="inlineStr">
        <is>
          <t>51450</t>
        </is>
      </c>
      <c r="E428" s="54" t="inlineStr">
        <is>
          <t>C13 - KLABIN PR DRONE</t>
        </is>
      </c>
      <c r="F428" s="49" t="n"/>
      <c r="G428" s="54" t="inlineStr">
        <is>
          <t>MAIKON ADRIANO NATO DE SOUZA LOPES</t>
        </is>
      </c>
      <c r="H428" s="49" t="inlineStr">
        <is>
          <t>10817272925</t>
        </is>
      </c>
      <c r="I428" s="55" t="n">
        <v>46235</v>
      </c>
      <c r="J428" s="84" t="n">
        <v>38</v>
      </c>
      <c r="K428" s="54" t="inlineStr">
        <is>
          <t>DESLIGADO</t>
        </is>
      </c>
      <c r="L428" s="58" t="n">
        <v>46252</v>
      </c>
    </row>
    <row r="429">
      <c r="A429" s="54" t="n">
        <v>212522538</v>
      </c>
      <c r="B429" s="54" t="inlineStr">
        <is>
          <t>VIVO</t>
        </is>
      </c>
      <c r="C429" s="54" t="n">
        <v>15997359583</v>
      </c>
      <c r="D429" s="54" t="inlineStr">
        <is>
          <t>2071</t>
        </is>
      </c>
      <c r="E429" s="54" t="inlineStr">
        <is>
          <t>OFICINA SAO GABRIEL</t>
        </is>
      </c>
      <c r="F429" s="49" t="inlineStr">
        <is>
          <t>410100720</t>
        </is>
      </c>
      <c r="G429" s="54" t="inlineStr">
        <is>
          <t>MARCELO DA SILVA SANTOS</t>
        </is>
      </c>
      <c r="H429" s="49" t="inlineStr">
        <is>
          <t>01100552090</t>
        </is>
      </c>
      <c r="I429" s="55" t="n">
        <v>46235</v>
      </c>
      <c r="J429" s="84" t="n">
        <v>39.59</v>
      </c>
      <c r="K429" s="57" t="inlineStr">
        <is>
          <t>ATIVA</t>
        </is>
      </c>
      <c r="L429" s="58" t="n">
        <v>46252</v>
      </c>
    </row>
    <row r="430">
      <c r="A430" s="54" t="n">
        <v>212522538</v>
      </c>
      <c r="B430" s="54" t="inlineStr">
        <is>
          <t>VIVO</t>
        </is>
      </c>
      <c r="C430" s="54" t="n">
        <v>51997706386</v>
      </c>
      <c r="D430" s="54" t="inlineStr">
        <is>
          <t>53292</t>
        </is>
      </c>
      <c r="E430" s="54" t="inlineStr">
        <is>
          <t>C08 - CMPC SAO GABRIEL LOGISTICA</t>
        </is>
      </c>
      <c r="F430" s="49" t="inlineStr">
        <is>
          <t>410100219</t>
        </is>
      </c>
      <c r="G430" s="54" t="inlineStr">
        <is>
          <t>MARCI RODRIGUES MARQUES</t>
        </is>
      </c>
      <c r="H430" s="49" t="inlineStr">
        <is>
          <t>83130713034</t>
        </is>
      </c>
      <c r="I430" s="55" t="n">
        <v>46235</v>
      </c>
      <c r="J430" s="84" t="n">
        <v>39.59</v>
      </c>
      <c r="K430" s="57" t="inlineStr">
        <is>
          <t>ATIVA</t>
        </is>
      </c>
      <c r="L430" s="58" t="n">
        <v>46252</v>
      </c>
    </row>
    <row r="431">
      <c r="A431" s="54" t="n">
        <v>212522538</v>
      </c>
      <c r="B431" s="54" t="inlineStr">
        <is>
          <t>VIVO</t>
        </is>
      </c>
      <c r="C431" s="54" t="n">
        <v>67992123574</v>
      </c>
      <c r="D431" s="54" t="inlineStr">
        <is>
          <t>32701</t>
        </is>
      </c>
      <c r="E431" s="54" t="inlineStr">
        <is>
          <t>C01 - SUZANO PLANTIO AGUA CLARA</t>
        </is>
      </c>
      <c r="F431" s="49" t="inlineStr">
        <is>
          <t>210103300</t>
        </is>
      </c>
      <c r="G431" s="54" t="inlineStr">
        <is>
          <t>MARCIO LINA SENA</t>
        </is>
      </c>
      <c r="H431" s="49" t="inlineStr">
        <is>
          <t>99723000130</t>
        </is>
      </c>
      <c r="I431" s="55" t="n">
        <v>46235</v>
      </c>
      <c r="J431" s="84" t="n">
        <v>39.59</v>
      </c>
      <c r="K431" s="57" t="inlineStr">
        <is>
          <t>ATIVA</t>
        </is>
      </c>
      <c r="L431" s="58" t="n">
        <v>46252</v>
      </c>
    </row>
    <row r="432">
      <c r="A432" s="54" t="n">
        <v>212522538</v>
      </c>
      <c r="B432" s="54" t="inlineStr">
        <is>
          <t>VIVO</t>
        </is>
      </c>
      <c r="C432" s="54" t="n">
        <v>15996301346</v>
      </c>
      <c r="D432" s="54" t="inlineStr">
        <is>
          <t>41601</t>
        </is>
      </c>
      <c r="E432" s="54" t="inlineStr">
        <is>
          <t>C03 - EUCATEX ITATINGA</t>
        </is>
      </c>
      <c r="F432" s="49" t="inlineStr">
        <is>
          <t>010322824</t>
        </is>
      </c>
      <c r="G432" s="54" t="inlineStr">
        <is>
          <t>MARCOS DOMINGUES DE OLIVEIRA</t>
        </is>
      </c>
      <c r="H432" s="49" t="inlineStr">
        <is>
          <t>17517384856</t>
        </is>
      </c>
      <c r="I432" s="55" t="n">
        <v>46235</v>
      </c>
      <c r="J432" s="84" t="n">
        <v>39.59</v>
      </c>
      <c r="K432" s="57" t="inlineStr">
        <is>
          <t>ATIVA</t>
        </is>
      </c>
      <c r="L432" s="58" t="n">
        <v>46252</v>
      </c>
    </row>
    <row r="433">
      <c r="A433" s="54" t="n">
        <v>212522538</v>
      </c>
      <c r="B433" s="54" t="inlineStr">
        <is>
          <t>VIVO</t>
        </is>
      </c>
      <c r="C433" s="54" t="n">
        <v>15996812784</v>
      </c>
      <c r="D433" s="54" t="inlineStr">
        <is>
          <t>14</t>
        </is>
      </c>
      <c r="E433" s="54" t="inlineStr">
        <is>
          <t>FINANCAS, PROCESSOS E FACILITIES</t>
        </is>
      </c>
      <c r="F433" s="49" t="inlineStr">
        <is>
          <t>010620853</t>
        </is>
      </c>
      <c r="G433" s="54" t="inlineStr">
        <is>
          <t>MARCOS HENRIQUE BARBOSA SILVARES PEREIRA</t>
        </is>
      </c>
      <c r="H433" s="49" t="inlineStr">
        <is>
          <t>09437712506</t>
        </is>
      </c>
      <c r="I433" s="55" t="n">
        <v>46235</v>
      </c>
      <c r="J433" s="84" t="n">
        <v>39.59</v>
      </c>
      <c r="K433" s="57" t="inlineStr">
        <is>
          <t>ATIVA</t>
        </is>
      </c>
      <c r="L433" s="58" t="n">
        <v>46252</v>
      </c>
    </row>
    <row r="434">
      <c r="A434" s="54" t="inlineStr">
        <is>
          <t>71768171</t>
        </is>
      </c>
      <c r="B434" s="54" t="inlineStr">
        <is>
          <t>TIM</t>
        </is>
      </c>
      <c r="C434" s="54" t="inlineStr">
        <is>
          <t>15981573350</t>
        </is>
      </c>
      <c r="D434" s="54" t="inlineStr">
        <is>
          <t>510</t>
        </is>
      </c>
      <c r="E434" s="54" t="inlineStr">
        <is>
          <t>GESTAO OP PR2</t>
        </is>
      </c>
      <c r="F434" s="49" t="n"/>
      <c r="G434" s="54" t="inlineStr">
        <is>
          <t>Marcelo Camargo</t>
        </is>
      </c>
      <c r="H434" s="49" t="n"/>
      <c r="I434" s="55" t="n">
        <v>46235</v>
      </c>
      <c r="J434" s="84" t="n">
        <v>35</v>
      </c>
      <c r="K434" s="54" t="inlineStr">
        <is>
          <t>VERIFICAR</t>
        </is>
      </c>
      <c r="L434" s="58" t="n">
        <v>46252</v>
      </c>
    </row>
    <row r="435">
      <c r="A435" s="54" t="n">
        <v>212522538</v>
      </c>
      <c r="B435" s="54" t="inlineStr">
        <is>
          <t>VIVO</t>
        </is>
      </c>
      <c r="C435" s="54" t="n">
        <v>51995103865</v>
      </c>
      <c r="D435" s="54" t="inlineStr">
        <is>
          <t>41601</t>
        </is>
      </c>
      <c r="E435" s="54" t="inlineStr">
        <is>
          <t>C03 - EUCATEX ITATINGA</t>
        </is>
      </c>
      <c r="F435" s="49" t="inlineStr">
        <is>
          <t>010319340</t>
        </is>
      </c>
      <c r="G435" s="54" t="inlineStr">
        <is>
          <t>MARCOS PAULO DE FREITAS GOMES</t>
        </is>
      </c>
      <c r="H435" s="49" t="inlineStr">
        <is>
          <t>40922754802</t>
        </is>
      </c>
      <c r="I435" s="55" t="n">
        <v>46235</v>
      </c>
      <c r="J435" s="84" t="n">
        <v>39.59</v>
      </c>
      <c r="K435" s="57" t="inlineStr">
        <is>
          <t>ATIVA</t>
        </is>
      </c>
      <c r="L435" s="58" t="n">
        <v>46252</v>
      </c>
    </row>
    <row r="436">
      <c r="A436" s="54" t="n">
        <v>212522538</v>
      </c>
      <c r="B436" s="54" t="inlineStr">
        <is>
          <t>VIVO</t>
        </is>
      </c>
      <c r="C436" s="54" t="n">
        <v>15996142711</v>
      </c>
      <c r="D436" s="54" t="inlineStr">
        <is>
          <t>71201</t>
        </is>
      </c>
      <c r="E436" s="54" t="inlineStr">
        <is>
          <t>P03 - CMAK</t>
        </is>
      </c>
      <c r="F436" s="49" t="inlineStr">
        <is>
          <t>010212447</t>
        </is>
      </c>
      <c r="G436" s="54" t="inlineStr">
        <is>
          <t>MARCOS ROBERTO DE ALMEIDA</t>
        </is>
      </c>
      <c r="H436" s="49" t="inlineStr">
        <is>
          <t>33218015820</t>
        </is>
      </c>
      <c r="I436" s="55" t="n">
        <v>46235</v>
      </c>
      <c r="J436" s="84" t="n">
        <v>39.59</v>
      </c>
      <c r="K436" s="57" t="inlineStr">
        <is>
          <t>ATIVA</t>
        </is>
      </c>
      <c r="L436" s="58" t="n">
        <v>46252</v>
      </c>
    </row>
    <row r="437">
      <c r="A437" s="54" t="inlineStr">
        <is>
          <t>71768171</t>
        </is>
      </c>
      <c r="B437" s="54" t="inlineStr">
        <is>
          <t>TIM</t>
        </is>
      </c>
      <c r="C437" s="54" t="inlineStr">
        <is>
          <t>15981471983</t>
        </is>
      </c>
      <c r="D437" s="54" t="inlineStr">
        <is>
          <t>52400</t>
        </is>
      </c>
      <c r="E437" s="54" t="inlineStr">
        <is>
          <t>GESTAO OP JAGUARIAIVA</t>
        </is>
      </c>
      <c r="F437" s="49" t="inlineStr">
        <is>
          <t>701000812</t>
        </is>
      </c>
      <c r="G437" s="54" t="inlineStr">
        <is>
          <t>MARCELO DE JESUS ALELUIA</t>
        </is>
      </c>
      <c r="H437" s="49" t="inlineStr">
        <is>
          <t>05676277998</t>
        </is>
      </c>
      <c r="I437" s="55" t="n">
        <v>46235</v>
      </c>
      <c r="J437" s="84" t="n">
        <v>32</v>
      </c>
      <c r="K437" s="57" t="inlineStr">
        <is>
          <t>ATIVA</t>
        </is>
      </c>
      <c r="L437" s="58" t="n">
        <v>46252</v>
      </c>
    </row>
    <row r="438">
      <c r="A438" s="54" t="n">
        <v>212522538</v>
      </c>
      <c r="B438" s="54" t="inlineStr">
        <is>
          <t>VIVO</t>
        </is>
      </c>
      <c r="C438" s="54" t="n">
        <v>15996594211</v>
      </c>
      <c r="D438" s="54" t="inlineStr">
        <is>
          <t>2044</t>
        </is>
      </c>
      <c r="E438" s="54" t="inlineStr">
        <is>
          <t>OFICINA SUZANO CBO</t>
        </is>
      </c>
      <c r="F438" s="49" t="inlineStr">
        <is>
          <t>010205684</t>
        </is>
      </c>
      <c r="G438" s="54" t="inlineStr">
        <is>
          <t>MARCOS ROBERTO DE MORAES</t>
        </is>
      </c>
      <c r="H438" s="49" t="inlineStr">
        <is>
          <t>30516388894</t>
        </is>
      </c>
      <c r="I438" s="55" t="n">
        <v>46235</v>
      </c>
      <c r="J438" s="84" t="n">
        <v>39.59</v>
      </c>
      <c r="K438" s="57" t="inlineStr">
        <is>
          <t>ATIVA</t>
        </is>
      </c>
      <c r="L438" s="58" t="n">
        <v>46252</v>
      </c>
    </row>
    <row r="439">
      <c r="A439" s="54" t="n">
        <v>212522538</v>
      </c>
      <c r="B439" s="54" t="inlineStr">
        <is>
          <t>VIVO</t>
        </is>
      </c>
      <c r="C439" s="54" t="n">
        <v>15997631656</v>
      </c>
      <c r="D439" s="54" t="inlineStr">
        <is>
          <t>42900</t>
        </is>
      </c>
      <c r="E439" s="54" t="inlineStr">
        <is>
          <t>GESTAO OP BRACELL CBO</t>
        </is>
      </c>
      <c r="F439" s="49" t="inlineStr">
        <is>
          <t>010207174</t>
        </is>
      </c>
      <c r="G439" s="54" t="inlineStr">
        <is>
          <t>MARCOS ROBERTO DE OLIVEIRA</t>
        </is>
      </c>
      <c r="H439" s="49" t="inlineStr">
        <is>
          <t>32229524852</t>
        </is>
      </c>
      <c r="I439" s="55" t="n">
        <v>46235</v>
      </c>
      <c r="J439" s="84" t="n">
        <v>39.59</v>
      </c>
      <c r="K439" s="57" t="inlineStr">
        <is>
          <t>ATIVA</t>
        </is>
      </c>
      <c r="L439" s="58" t="n">
        <v>46252</v>
      </c>
    </row>
    <row r="440">
      <c r="A440" s="54" t="inlineStr">
        <is>
          <t>71768171</t>
        </is>
      </c>
      <c r="B440" s="54" t="inlineStr">
        <is>
          <t>TIM</t>
        </is>
      </c>
      <c r="C440" s="54" t="inlineStr">
        <is>
          <t>15981632341</t>
        </is>
      </c>
      <c r="D440" s="54" t="inlineStr">
        <is>
          <t>510</t>
        </is>
      </c>
      <c r="E440" s="54" t="inlineStr">
        <is>
          <t>GESTAO OP PR2</t>
        </is>
      </c>
      <c r="F440" s="49" t="n"/>
      <c r="G440" s="54" t="inlineStr">
        <is>
          <t>Marcio Antonio Merege</t>
        </is>
      </c>
      <c r="H440" s="49" t="n"/>
      <c r="I440" s="55" t="n">
        <v>46235</v>
      </c>
      <c r="J440" s="84" t="n">
        <v>39.24</v>
      </c>
      <c r="K440" s="54" t="inlineStr">
        <is>
          <t>VERIFICAR</t>
        </is>
      </c>
      <c r="L440" s="58" t="n">
        <v>46252</v>
      </c>
    </row>
    <row r="441">
      <c r="A441" s="54" t="inlineStr">
        <is>
          <t>71768171</t>
        </is>
      </c>
      <c r="B441" s="54" t="inlineStr">
        <is>
          <t>TIM</t>
        </is>
      </c>
      <c r="C441" s="49" t="inlineStr">
        <is>
          <t>15981910102</t>
        </is>
      </c>
      <c r="D441" s="54" t="inlineStr">
        <is>
          <t>51301</t>
        </is>
      </c>
      <c r="E441" s="54" t="inlineStr">
        <is>
          <t>C13 - KLABIN CURIUVA</t>
        </is>
      </c>
      <c r="F441" s="49" t="inlineStr">
        <is>
          <t>701002648</t>
        </is>
      </c>
      <c r="G441" s="54" t="inlineStr">
        <is>
          <t>Marcio Fernandes Lemes De Souza</t>
        </is>
      </c>
      <c r="H441" s="49" t="n"/>
      <c r="I441" s="55" t="n">
        <v>46235</v>
      </c>
      <c r="J441" s="84" t="n">
        <v>36.5</v>
      </c>
      <c r="K441" s="54" t="inlineStr">
        <is>
          <t>VERIFICAR</t>
        </is>
      </c>
      <c r="L441" s="58" t="n">
        <v>46252</v>
      </c>
    </row>
    <row r="442">
      <c r="A442" s="54" t="n">
        <v>212522538</v>
      </c>
      <c r="B442" s="54" t="inlineStr">
        <is>
          <t>VIVO</t>
        </is>
      </c>
      <c r="C442" s="54" t="n">
        <v>15998105077</v>
      </c>
      <c r="D442" s="54" t="inlineStr">
        <is>
          <t>42900</t>
        </is>
      </c>
      <c r="E442" s="54" t="inlineStr">
        <is>
          <t>GESTAO OP BRACELL CBO</t>
        </is>
      </c>
      <c r="F442" s="49" t="inlineStr">
        <is>
          <t>010207174</t>
        </is>
      </c>
      <c r="G442" s="49" t="inlineStr">
        <is>
          <t>MARCOS ROBERTO DE OLIVEIRA</t>
        </is>
      </c>
      <c r="H442" s="49" t="inlineStr">
        <is>
          <t>32229524852</t>
        </is>
      </c>
      <c r="I442" s="55" t="n">
        <v>46235</v>
      </c>
      <c r="J442" s="84" t="n">
        <v>39.59</v>
      </c>
      <c r="K442" s="57" t="inlineStr">
        <is>
          <t>ATIVA</t>
        </is>
      </c>
      <c r="L442" s="58" t="n">
        <v>46252</v>
      </c>
    </row>
    <row r="443">
      <c r="A443" s="54" t="inlineStr">
        <is>
          <t>71768171</t>
        </is>
      </c>
      <c r="B443" s="54" t="inlineStr">
        <is>
          <t>TIM</t>
        </is>
      </c>
      <c r="C443" s="54" t="inlineStr">
        <is>
          <t>15981860126</t>
        </is>
      </c>
      <c r="D443" s="54" t="inlineStr">
        <is>
          <t>516</t>
        </is>
      </c>
      <c r="E443" s="54" t="inlineStr">
        <is>
          <t>QUALIDADE PR2</t>
        </is>
      </c>
      <c r="F443" s="49" t="n"/>
      <c r="G443" s="54" t="inlineStr">
        <is>
          <t>MARCO AURELIO ROSA DE AQUINO</t>
        </is>
      </c>
      <c r="H443" s="49" t="inlineStr">
        <is>
          <t>06076482958</t>
        </is>
      </c>
      <c r="I443" s="55" t="n">
        <v>46235</v>
      </c>
      <c r="J443" s="84" t="n">
        <v>35</v>
      </c>
      <c r="K443" s="57" t="inlineStr">
        <is>
          <t>ATIVA</t>
        </is>
      </c>
      <c r="L443" s="58" t="n">
        <v>46252</v>
      </c>
    </row>
    <row r="444">
      <c r="A444" s="54" t="n">
        <v>212522538</v>
      </c>
      <c r="B444" s="54" t="inlineStr">
        <is>
          <t>VIVO</t>
        </is>
      </c>
      <c r="C444" s="54" t="n">
        <v>15996562772</v>
      </c>
      <c r="D444" s="54" t="inlineStr">
        <is>
          <t>41500</t>
        </is>
      </c>
      <c r="E444" s="54" t="inlineStr">
        <is>
          <t>GESTAO OP BRACELL ITATINGA</t>
        </is>
      </c>
      <c r="F444" s="49" t="inlineStr">
        <is>
          <t>010323086</t>
        </is>
      </c>
      <c r="G444" s="54" t="inlineStr">
        <is>
          <t>MARIA CLARA LOPES VICENTE</t>
        </is>
      </c>
      <c r="H444" s="49" t="inlineStr">
        <is>
          <t>44370523826</t>
        </is>
      </c>
      <c r="I444" s="55" t="n">
        <v>46235</v>
      </c>
      <c r="J444" s="84" t="n">
        <v>39.59</v>
      </c>
      <c r="K444" s="57" t="inlineStr">
        <is>
          <t>ATIVA</t>
        </is>
      </c>
      <c r="L444" s="58" t="n">
        <v>46252</v>
      </c>
    </row>
    <row r="445">
      <c r="A445" s="54" t="n">
        <v>212522538</v>
      </c>
      <c r="B445" s="54" t="inlineStr">
        <is>
          <t>VIVO</t>
        </is>
      </c>
      <c r="C445" s="54" t="n">
        <v>15998386845</v>
      </c>
      <c r="D445" s="54" t="inlineStr">
        <is>
          <t>12</t>
        </is>
      </c>
      <c r="E445" s="54" t="inlineStr">
        <is>
          <t>SUPRIMENTOS E FROTAS</t>
        </is>
      </c>
      <c r="F445" s="49" t="inlineStr">
        <is>
          <t>010817364</t>
        </is>
      </c>
      <c r="G445" s="54" t="inlineStr">
        <is>
          <t>MARIA CLARA RODRIGUES DE ALMEIDA</t>
        </is>
      </c>
      <c r="H445" s="49" t="inlineStr">
        <is>
          <t>46239522821</t>
        </is>
      </c>
      <c r="I445" s="55" t="n">
        <v>46235</v>
      </c>
      <c r="J445" s="84" t="n">
        <v>39.59</v>
      </c>
      <c r="K445" s="57" t="inlineStr">
        <is>
          <t>ATIVA</t>
        </is>
      </c>
      <c r="L445" s="58" t="n">
        <v>46252</v>
      </c>
    </row>
    <row r="446">
      <c r="A446" s="54" t="n">
        <v>212522538</v>
      </c>
      <c r="B446" s="54" t="inlineStr">
        <is>
          <t>VIVO</t>
        </is>
      </c>
      <c r="C446" s="54" t="n">
        <v>15996664707</v>
      </c>
      <c r="D446" s="54" t="inlineStr">
        <is>
          <t>710</t>
        </is>
      </c>
      <c r="E446" s="54" t="inlineStr">
        <is>
          <t>GESTAO DESENVOLVIMENTO OPERACIONAL</t>
        </is>
      </c>
      <c r="F446" s="49" t="inlineStr">
        <is>
          <t>010720620</t>
        </is>
      </c>
      <c r="G446" s="49" t="inlineStr">
        <is>
          <t>MARIA EDUARDA VENANCIO SIQUEIRA</t>
        </is>
      </c>
      <c r="H446" s="49" t="inlineStr">
        <is>
          <t>46969773825</t>
        </is>
      </c>
      <c r="I446" s="55" t="n">
        <v>46235</v>
      </c>
      <c r="J446" s="84" t="n">
        <v>39.59</v>
      </c>
      <c r="K446" s="57" t="inlineStr">
        <is>
          <t>ATIVA</t>
        </is>
      </c>
      <c r="L446" s="58" t="n">
        <v>46252</v>
      </c>
    </row>
    <row r="447">
      <c r="A447" s="54" t="n">
        <v>212522538</v>
      </c>
      <c r="B447" s="54" t="inlineStr">
        <is>
          <t>VIVO</t>
        </is>
      </c>
      <c r="C447" s="54" t="n">
        <v>67999481370</v>
      </c>
      <c r="D447" s="54" t="inlineStr">
        <is>
          <t>710</t>
        </is>
      </c>
      <c r="E447" s="54" t="inlineStr">
        <is>
          <t>GESTAO DESENVOLVIMENTO OPERACIONAL</t>
        </is>
      </c>
      <c r="F447" s="49" t="inlineStr">
        <is>
          <t>010720620</t>
        </is>
      </c>
      <c r="G447" s="49" t="inlineStr">
        <is>
          <t>MARIA EDUARDA VENANCIO SIQUEIRA</t>
        </is>
      </c>
      <c r="H447" s="49" t="inlineStr">
        <is>
          <t>46969773825</t>
        </is>
      </c>
      <c r="I447" s="55" t="n">
        <v>46235</v>
      </c>
      <c r="J447" s="84" t="n">
        <v>54.63</v>
      </c>
      <c r="K447" s="57" t="inlineStr">
        <is>
          <t>ATIVA</t>
        </is>
      </c>
      <c r="L447" s="58" t="n">
        <v>46252</v>
      </c>
    </row>
    <row r="448">
      <c r="A448" s="54" t="n">
        <v>212522538</v>
      </c>
      <c r="B448" s="54" t="inlineStr">
        <is>
          <t>VIVO</t>
        </is>
      </c>
      <c r="C448" s="54" t="n">
        <v>15996908474</v>
      </c>
      <c r="D448" s="54" t="inlineStr">
        <is>
          <t>710</t>
        </is>
      </c>
      <c r="E448" s="54" t="inlineStr">
        <is>
          <t>GESTAO DESENVOLVIMENTO OPERACIONAL</t>
        </is>
      </c>
      <c r="F448" s="49" t="inlineStr">
        <is>
          <t>010720620</t>
        </is>
      </c>
      <c r="G448" s="54" t="inlineStr">
        <is>
          <t>MARIA EDUARDA VENANCIO SIQUEIRA</t>
        </is>
      </c>
      <c r="H448" s="49" t="inlineStr">
        <is>
          <t>46969773825</t>
        </is>
      </c>
      <c r="I448" s="55" t="n">
        <v>46235</v>
      </c>
      <c r="J448" s="84" t="n">
        <v>49.13</v>
      </c>
      <c r="K448" s="57" t="inlineStr">
        <is>
          <t>ATIVA</t>
        </is>
      </c>
      <c r="L448" s="58" t="n">
        <v>46252</v>
      </c>
    </row>
    <row r="449">
      <c r="A449" s="54" t="n">
        <v>212522538</v>
      </c>
      <c r="B449" s="54" t="inlineStr">
        <is>
          <t>VIVO</t>
        </is>
      </c>
      <c r="C449" s="54" t="n">
        <v>15998350645</v>
      </c>
      <c r="D449" s="54" t="inlineStr">
        <is>
          <t>710</t>
        </is>
      </c>
      <c r="E449" s="54" t="inlineStr">
        <is>
          <t>GESTAO DESENVOLVIMENTO OPERACIONAL</t>
        </is>
      </c>
      <c r="F449" s="49" t="inlineStr">
        <is>
          <t>010720620</t>
        </is>
      </c>
      <c r="G449" s="54" t="inlineStr">
        <is>
          <t>MARIA EDUARDA VENANCIO SIQUEIRA</t>
        </is>
      </c>
      <c r="H449" s="49" t="inlineStr">
        <is>
          <t>46969773825</t>
        </is>
      </c>
      <c r="I449" s="55" t="n">
        <v>46235</v>
      </c>
      <c r="J449" s="84" t="n">
        <v>39.59</v>
      </c>
      <c r="K449" s="57" t="inlineStr">
        <is>
          <t>ATIVA</t>
        </is>
      </c>
      <c r="L449" s="58" t="n">
        <v>46252</v>
      </c>
    </row>
    <row r="450">
      <c r="A450" s="54" t="n">
        <v>212522538</v>
      </c>
      <c r="B450" s="54" t="inlineStr">
        <is>
          <t>VIVO</t>
        </is>
      </c>
      <c r="C450" s="54" t="n">
        <v>15996203650</v>
      </c>
      <c r="D450" s="54" t="n">
        <v>2147</v>
      </c>
      <c r="E450" s="54" t="inlineStr">
        <is>
          <t>SSMA SP1</t>
        </is>
      </c>
      <c r="F450" s="49" t="inlineStr">
        <is>
          <t>010422846</t>
        </is>
      </c>
      <c r="G450" s="54" t="inlineStr">
        <is>
          <t>MARISTELA ALCANTARA ALVARES MOREIRA</t>
        </is>
      </c>
      <c r="H450" s="49" t="inlineStr">
        <is>
          <t>39417446827</t>
        </is>
      </c>
      <c r="I450" s="55" t="n">
        <v>46235</v>
      </c>
      <c r="J450" s="84" t="n">
        <v>49.13</v>
      </c>
      <c r="K450" s="57" t="inlineStr">
        <is>
          <t>ATIVA</t>
        </is>
      </c>
      <c r="L450" s="58" t="n">
        <v>46252</v>
      </c>
    </row>
    <row r="451">
      <c r="A451" s="54" t="n">
        <v>212522538</v>
      </c>
      <c r="B451" s="54" t="inlineStr">
        <is>
          <t>VIVO</t>
        </is>
      </c>
      <c r="C451" s="54" t="n">
        <v>15996382810</v>
      </c>
      <c r="D451" s="54" t="n">
        <v>428</v>
      </c>
      <c r="E451" s="54" t="inlineStr">
        <is>
          <t>QUALIDADE SP2</t>
        </is>
      </c>
      <c r="F451" s="49" t="inlineStr">
        <is>
          <t>010412651</t>
        </is>
      </c>
      <c r="G451" s="54" t="inlineStr">
        <is>
          <t>MARLON FERNANDO DE SOUZA</t>
        </is>
      </c>
      <c r="H451" s="49" t="inlineStr">
        <is>
          <t>35709444847</t>
        </is>
      </c>
      <c r="I451" s="55" t="n">
        <v>46235</v>
      </c>
      <c r="J451" s="84" t="n">
        <v>39.59</v>
      </c>
      <c r="K451" s="57" t="inlineStr">
        <is>
          <t>ATIVA</t>
        </is>
      </c>
      <c r="L451" s="58" t="n">
        <v>46252</v>
      </c>
    </row>
    <row r="452">
      <c r="A452" s="54" t="n">
        <v>212522538</v>
      </c>
      <c r="B452" s="54" t="inlineStr">
        <is>
          <t>VIVO</t>
        </is>
      </c>
      <c r="C452" s="54" t="n">
        <v>15997238493</v>
      </c>
      <c r="D452" s="54" t="n">
        <v>420</v>
      </c>
      <c r="E452" s="54" t="inlineStr">
        <is>
          <t>GESTAO OP SP1</t>
        </is>
      </c>
      <c r="F452" s="49" t="inlineStr">
        <is>
          <t>00050348381</t>
        </is>
      </c>
      <c r="G452" s="54" t="inlineStr">
        <is>
          <t>Marlon Silva</t>
        </is>
      </c>
      <c r="H452" s="49" t="inlineStr">
        <is>
          <t>50348381000172</t>
        </is>
      </c>
      <c r="I452" s="55" t="n">
        <v>46235</v>
      </c>
      <c r="J452" s="84" t="n">
        <v>39.59</v>
      </c>
      <c r="K452" s="54" t="inlineStr">
        <is>
          <t>ATIVA</t>
        </is>
      </c>
      <c r="L452" s="58" t="n">
        <v>46252</v>
      </c>
    </row>
    <row r="453">
      <c r="A453" s="54" t="n">
        <v>212522538</v>
      </c>
      <c r="B453" s="54" t="inlineStr">
        <is>
          <t>VIVO</t>
        </is>
      </c>
      <c r="C453" s="54" t="n">
        <v>15997816870</v>
      </c>
      <c r="D453" s="54" t="n">
        <v>2001</v>
      </c>
      <c r="E453" s="54" t="inlineStr">
        <is>
          <t>OFICINA MATRIZ</t>
        </is>
      </c>
      <c r="F453" s="49" t="inlineStr">
        <is>
          <t>010723026</t>
        </is>
      </c>
      <c r="G453" s="54" t="inlineStr">
        <is>
          <t>MATEUS LEITE DE OLIVEIRA</t>
        </is>
      </c>
      <c r="H453" s="49" t="inlineStr">
        <is>
          <t>36938333890</t>
        </is>
      </c>
      <c r="I453" s="55" t="n">
        <v>46235</v>
      </c>
      <c r="J453" s="84" t="n">
        <v>39.59</v>
      </c>
      <c r="K453" s="57" t="inlineStr">
        <is>
          <t>ATIVA</t>
        </is>
      </c>
      <c r="L453" s="58" t="n">
        <v>46252</v>
      </c>
    </row>
    <row r="454">
      <c r="A454" s="54" t="n">
        <v>212522538</v>
      </c>
      <c r="B454" s="54" t="inlineStr">
        <is>
          <t>VIVO</t>
        </is>
      </c>
      <c r="C454" s="54" t="n">
        <v>15997555377</v>
      </c>
      <c r="D454" s="54" t="inlineStr">
        <is>
          <t>10</t>
        </is>
      </c>
      <c r="E454" s="54" t="inlineStr">
        <is>
          <t>RECURSOS HUMANOS</t>
        </is>
      </c>
      <c r="F454" s="49" t="inlineStr">
        <is>
          <t>010521703</t>
        </is>
      </c>
      <c r="G454" s="54" t="inlineStr">
        <is>
          <t>MATHEUS JANEZ SIMOES</t>
        </is>
      </c>
      <c r="H454" s="49" t="inlineStr">
        <is>
          <t>45045362852</t>
        </is>
      </c>
      <c r="I454" s="55" t="n">
        <v>46235</v>
      </c>
      <c r="J454" s="84" t="n">
        <v>39.59</v>
      </c>
      <c r="K454" s="57" t="inlineStr">
        <is>
          <t>ATIVA</t>
        </is>
      </c>
      <c r="L454" s="58" t="n">
        <v>46252</v>
      </c>
    </row>
    <row r="455">
      <c r="A455" s="54" t="n">
        <v>212522538</v>
      </c>
      <c r="B455" s="54" t="inlineStr">
        <is>
          <t>VIVO</t>
        </is>
      </c>
      <c r="C455" s="54" t="n">
        <v>15998427158</v>
      </c>
      <c r="D455" s="54" t="inlineStr">
        <is>
          <t>2031</t>
        </is>
      </c>
      <c r="E455" s="54" t="inlineStr">
        <is>
          <t>OFICINA DUARTINA</t>
        </is>
      </c>
      <c r="F455" s="49" t="inlineStr">
        <is>
          <t>010320805</t>
        </is>
      </c>
      <c r="G455" s="54" t="inlineStr">
        <is>
          <t>MATHEUS TORRES DE OLIVEIRA</t>
        </is>
      </c>
      <c r="H455" s="49" t="inlineStr">
        <is>
          <t>36237696814</t>
        </is>
      </c>
      <c r="I455" s="55" t="n">
        <v>46235</v>
      </c>
      <c r="J455" s="84" t="n">
        <v>39.59</v>
      </c>
      <c r="K455" s="57" t="inlineStr">
        <is>
          <t>ATIVA</t>
        </is>
      </c>
      <c r="L455" s="58" t="n">
        <v>46252</v>
      </c>
    </row>
    <row r="456">
      <c r="A456" s="54" t="n">
        <v>212522538</v>
      </c>
      <c r="B456" s="54" t="inlineStr">
        <is>
          <t>VIVO</t>
        </is>
      </c>
      <c r="C456" s="54" t="n">
        <v>15997063691</v>
      </c>
      <c r="D456" s="54" t="n">
        <v>32301</v>
      </c>
      <c r="E456" s="54" t="inlineStr">
        <is>
          <t>C07 - SUZANO MANUTENCAO TRES LAGOAS</t>
        </is>
      </c>
      <c r="F456" s="49" t="inlineStr">
        <is>
          <t>210100927</t>
        </is>
      </c>
      <c r="G456" s="54" t="inlineStr">
        <is>
          <t>MAURO PEREIRA LINS</t>
        </is>
      </c>
      <c r="H456" s="49" t="inlineStr">
        <is>
          <t>95272550153</t>
        </is>
      </c>
      <c r="I456" s="55" t="n">
        <v>46235</v>
      </c>
      <c r="J456" s="84" t="n">
        <v>39.59</v>
      </c>
      <c r="K456" s="57" t="inlineStr">
        <is>
          <t>ATIVA</t>
        </is>
      </c>
      <c r="L456" s="58" t="n">
        <v>46252</v>
      </c>
    </row>
    <row r="457">
      <c r="A457" s="54" t="inlineStr">
        <is>
          <t>71768171</t>
        </is>
      </c>
      <c r="B457" s="54" t="inlineStr">
        <is>
          <t>TIM</t>
        </is>
      </c>
      <c r="C457" s="54" t="inlineStr">
        <is>
          <t>15981860085</t>
        </is>
      </c>
      <c r="D457" s="54" t="inlineStr">
        <is>
          <t>2140</t>
        </is>
      </c>
      <c r="E457" s="54" t="inlineStr">
        <is>
          <t>SSMA SP2</t>
        </is>
      </c>
      <c r="F457" s="49" t="n"/>
      <c r="G457" s="54" t="inlineStr">
        <is>
          <t>MARIA JUCIMARA DE FREITAS</t>
        </is>
      </c>
      <c r="H457" s="49" t="inlineStr">
        <is>
          <t>46015851805</t>
        </is>
      </c>
      <c r="I457" s="55" t="n">
        <v>46235</v>
      </c>
      <c r="J457" s="84" t="n">
        <v>35</v>
      </c>
      <c r="K457" s="57" t="inlineStr">
        <is>
          <t>ATIVA</t>
        </is>
      </c>
      <c r="L457" s="58" t="n">
        <v>46252</v>
      </c>
    </row>
    <row r="458">
      <c r="A458" s="54" t="n">
        <v>212522538</v>
      </c>
      <c r="B458" s="54" t="inlineStr">
        <is>
          <t>VIVO</t>
        </is>
      </c>
      <c r="C458" s="54" t="n">
        <v>15996030676</v>
      </c>
      <c r="D458" s="54" t="inlineStr">
        <is>
          <t>10</t>
        </is>
      </c>
      <c r="E458" s="54" t="inlineStr">
        <is>
          <t>RECURSOS HUMANOS</t>
        </is>
      </c>
      <c r="F458" s="49" t="inlineStr">
        <is>
          <t>010219279</t>
        </is>
      </c>
      <c r="G458" s="54" t="inlineStr">
        <is>
          <t>MAYARA RIBEIRO DE OLIVEIRA</t>
        </is>
      </c>
      <c r="H458" s="49" t="inlineStr">
        <is>
          <t>38026761812</t>
        </is>
      </c>
      <c r="I458" s="55" t="n">
        <v>46235</v>
      </c>
      <c r="J458" s="84" t="n">
        <v>39.59</v>
      </c>
      <c r="K458" s="57" t="inlineStr">
        <is>
          <t>ATIVA</t>
        </is>
      </c>
      <c r="L458" s="58" t="n">
        <v>46252</v>
      </c>
    </row>
    <row r="459">
      <c r="A459" s="54" t="n">
        <v>212522538</v>
      </c>
      <c r="B459" s="54" t="inlineStr">
        <is>
          <t>VIVO</t>
        </is>
      </c>
      <c r="C459" s="54" t="n">
        <v>15996194607</v>
      </c>
      <c r="D459" s="54" t="n">
        <v>11</v>
      </c>
      <c r="E459" s="54" t="inlineStr">
        <is>
          <t>CONTROLADORIA</t>
        </is>
      </c>
      <c r="F459" s="49" t="inlineStr">
        <is>
          <t>00045088337</t>
        </is>
      </c>
      <c r="G459" s="54" t="inlineStr">
        <is>
          <t>Maycon Wender</t>
        </is>
      </c>
      <c r="H459" s="49" t="inlineStr">
        <is>
          <t>45088337000130</t>
        </is>
      </c>
      <c r="I459" s="55" t="n">
        <v>46235</v>
      </c>
      <c r="J459" s="84" t="n">
        <v>39.59</v>
      </c>
      <c r="K459" s="54" t="inlineStr">
        <is>
          <t>ATIVA</t>
        </is>
      </c>
      <c r="L459" s="58" t="n">
        <v>46252</v>
      </c>
    </row>
    <row r="460">
      <c r="A460" s="54" t="inlineStr">
        <is>
          <t>71768171</t>
        </is>
      </c>
      <c r="B460" s="54" t="inlineStr">
        <is>
          <t>TIM</t>
        </is>
      </c>
      <c r="C460" s="54" t="inlineStr">
        <is>
          <t>15981472334</t>
        </is>
      </c>
      <c r="D460" s="54" t="inlineStr">
        <is>
          <t>51301</t>
        </is>
      </c>
      <c r="E460" s="54" t="inlineStr">
        <is>
          <t>C13 - KLABIN CURIUVA</t>
        </is>
      </c>
      <c r="F460" s="49" t="inlineStr">
        <is>
          <t>701002145</t>
        </is>
      </c>
      <c r="G460" s="54" t="inlineStr">
        <is>
          <t>Matheus De Oliveira Fagundes Litvim</t>
        </is>
      </c>
      <c r="H460" s="49" t="n"/>
      <c r="I460" s="55" t="n">
        <v>46235</v>
      </c>
      <c r="J460" s="84" t="n">
        <v>32</v>
      </c>
      <c r="K460" s="54" t="inlineStr">
        <is>
          <t>VERIFICAR</t>
        </is>
      </c>
      <c r="L460" s="58" t="n">
        <v>46252</v>
      </c>
    </row>
    <row r="461">
      <c r="A461" s="54" t="n">
        <v>212522538</v>
      </c>
      <c r="B461" s="54" t="inlineStr">
        <is>
          <t>VIVO</t>
        </is>
      </c>
      <c r="C461" s="54" t="n">
        <v>15997965476</v>
      </c>
      <c r="D461" s="54" t="inlineStr">
        <is>
          <t>42550</t>
        </is>
      </c>
      <c r="E461" s="54" t="inlineStr">
        <is>
          <t>C02 - SUZANO CBO</t>
        </is>
      </c>
      <c r="F461" s="49" t="inlineStr">
        <is>
          <t>010216128</t>
        </is>
      </c>
      <c r="G461" s="54" t="inlineStr">
        <is>
          <t>MICHAEL ANTUNES DA COSTA</t>
        </is>
      </c>
      <c r="H461" s="49" t="inlineStr">
        <is>
          <t>37740428884</t>
        </is>
      </c>
      <c r="I461" s="55" t="n">
        <v>46235</v>
      </c>
      <c r="J461" s="84" t="n">
        <v>39.59</v>
      </c>
      <c r="K461" s="57" t="inlineStr">
        <is>
          <t>ATIVA</t>
        </is>
      </c>
      <c r="L461" s="58" t="n">
        <v>46252</v>
      </c>
    </row>
    <row r="462">
      <c r="A462" s="54" t="n">
        <v>212522538</v>
      </c>
      <c r="B462" s="54" t="inlineStr">
        <is>
          <t>VIVO</t>
        </is>
      </c>
      <c r="C462" s="54" t="n">
        <v>15997120309</v>
      </c>
      <c r="D462" s="54" t="inlineStr">
        <is>
          <t>12</t>
        </is>
      </c>
      <c r="E462" s="54" t="inlineStr">
        <is>
          <t>SUPRIMENTOS E FROTAS</t>
        </is>
      </c>
      <c r="F462" s="49" t="inlineStr">
        <is>
          <t>010611710</t>
        </is>
      </c>
      <c r="G462" s="54" t="inlineStr">
        <is>
          <t>MICHEL FERNANDO TELES</t>
        </is>
      </c>
      <c r="H462" s="49" t="inlineStr">
        <is>
          <t>32653783819</t>
        </is>
      </c>
      <c r="I462" s="55" t="n">
        <v>46235</v>
      </c>
      <c r="J462" s="84" t="n">
        <v>39.59</v>
      </c>
      <c r="K462" s="57" t="inlineStr">
        <is>
          <t>ATIVA</t>
        </is>
      </c>
      <c r="L462" s="58" t="n">
        <v>46252</v>
      </c>
    </row>
    <row r="463">
      <c r="A463" s="54" t="n">
        <v>212522538</v>
      </c>
      <c r="B463" s="54" t="inlineStr">
        <is>
          <t>VIVO</t>
        </is>
      </c>
      <c r="C463" s="54" t="n">
        <v>15998304754</v>
      </c>
      <c r="D463" s="54" t="inlineStr">
        <is>
          <t>2100</t>
        </is>
      </c>
      <c r="E463" s="54" t="inlineStr">
        <is>
          <t>GESTAO SSMA</t>
        </is>
      </c>
      <c r="F463" s="49" t="inlineStr">
        <is>
          <t>010818922</t>
        </is>
      </c>
      <c r="G463" s="54" t="inlineStr">
        <is>
          <t>MILENA VITORIA DE ALMEIDA CORREA</t>
        </is>
      </c>
      <c r="H463" s="49" t="inlineStr">
        <is>
          <t>42858544816</t>
        </is>
      </c>
      <c r="I463" s="55" t="n">
        <v>46235</v>
      </c>
      <c r="J463" s="84" t="n">
        <v>39.59</v>
      </c>
      <c r="K463" s="57" t="inlineStr">
        <is>
          <t>ATIVA</t>
        </is>
      </c>
      <c r="L463" s="58" t="n">
        <v>46252</v>
      </c>
    </row>
    <row r="464">
      <c r="A464" s="54" t="inlineStr">
        <is>
          <t>71768171</t>
        </is>
      </c>
      <c r="B464" s="54" t="inlineStr">
        <is>
          <t>TIM</t>
        </is>
      </c>
      <c r="C464" s="54" t="inlineStr">
        <is>
          <t>15981632296</t>
        </is>
      </c>
      <c r="D464" s="54" t="inlineStr">
        <is>
          <t>510</t>
        </is>
      </c>
      <c r="E464" s="54" t="inlineStr">
        <is>
          <t>GESTAO OP PR2</t>
        </is>
      </c>
      <c r="F464" s="49" t="inlineStr">
        <is>
          <t>701000387</t>
        </is>
      </c>
      <c r="G464" s="54" t="inlineStr">
        <is>
          <t>Maxsoel Biscaia Da Silva</t>
        </is>
      </c>
      <c r="H464" s="49" t="n"/>
      <c r="I464" s="55" t="n">
        <v>46235</v>
      </c>
      <c r="J464" s="84" t="n">
        <v>39.24</v>
      </c>
      <c r="K464" s="54" t="inlineStr">
        <is>
          <t>VERIFICAR</t>
        </is>
      </c>
      <c r="L464" s="58" t="n">
        <v>46252</v>
      </c>
    </row>
    <row r="465">
      <c r="A465" s="54" t="n">
        <v>212522538</v>
      </c>
      <c r="B465" s="54" t="inlineStr">
        <is>
          <t>VIVO</t>
        </is>
      </c>
      <c r="C465" s="54" t="n">
        <v>51995142800</v>
      </c>
      <c r="D465" s="54" t="n">
        <v>10</v>
      </c>
      <c r="E465" s="61" t="inlineStr">
        <is>
          <t>RECURSOS HUMANOS</t>
        </is>
      </c>
      <c r="F465" s="49" t="inlineStr">
        <is>
          <t>410101023</t>
        </is>
      </c>
      <c r="G465" s="54" t="inlineStr">
        <is>
          <t>MONIQUE DA SILVA RIBEIRO</t>
        </is>
      </c>
      <c r="H465" s="49" t="inlineStr">
        <is>
          <t>03743342006</t>
        </is>
      </c>
      <c r="I465" s="55" t="n">
        <v>46235</v>
      </c>
      <c r="J465" s="84" t="n">
        <v>39.59</v>
      </c>
      <c r="K465" s="57" t="inlineStr">
        <is>
          <t>ATIVA</t>
        </is>
      </c>
      <c r="L465" s="58" t="n">
        <v>46252</v>
      </c>
    </row>
    <row r="466">
      <c r="A466" s="54" t="n">
        <v>212522538</v>
      </c>
      <c r="B466" s="54" t="inlineStr">
        <is>
          <t>VIVO</t>
        </is>
      </c>
      <c r="C466" s="54" t="n">
        <v>15998454316</v>
      </c>
      <c r="D466" s="54" t="inlineStr">
        <is>
          <t>41200</t>
        </is>
      </c>
      <c r="E466" s="54" t="inlineStr">
        <is>
          <t>GESTAO OP DUARTINA</t>
        </is>
      </c>
      <c r="F466" s="49" t="inlineStr">
        <is>
          <t>010323124</t>
        </is>
      </c>
      <c r="G466" s="54" t="inlineStr">
        <is>
          <t>NAHOMI GONCALVES DOMINGUES</t>
        </is>
      </c>
      <c r="H466" s="49" t="inlineStr">
        <is>
          <t>45711511874</t>
        </is>
      </c>
      <c r="I466" s="55" t="n">
        <v>46235</v>
      </c>
      <c r="J466" s="84" t="n">
        <v>39.59</v>
      </c>
      <c r="K466" s="57" t="inlineStr">
        <is>
          <t>ATIVA</t>
        </is>
      </c>
      <c r="L466" s="58" t="n">
        <v>46252</v>
      </c>
    </row>
    <row r="467">
      <c r="A467" s="54" t="inlineStr">
        <is>
          <t>71768171</t>
        </is>
      </c>
      <c r="B467" s="54" t="inlineStr">
        <is>
          <t>TIM</t>
        </is>
      </c>
      <c r="C467" s="54" t="inlineStr">
        <is>
          <t>15981580161</t>
        </is>
      </c>
      <c r="D467" s="54" t="inlineStr">
        <is>
          <t>510</t>
        </is>
      </c>
      <c r="E467" s="54" t="inlineStr">
        <is>
          <t>GESTAO OP PR2</t>
        </is>
      </c>
      <c r="F467" s="49" t="n"/>
      <c r="G467" s="54" t="inlineStr">
        <is>
          <t>Mezaque Veloso</t>
        </is>
      </c>
      <c r="H467" s="49" t="n"/>
      <c r="I467" s="55" t="n">
        <v>46235</v>
      </c>
      <c r="J467" s="84" t="n">
        <v>38.2</v>
      </c>
      <c r="K467" s="54" t="inlineStr">
        <is>
          <t>VERIFICAR</t>
        </is>
      </c>
      <c r="L467" s="58" t="n">
        <v>46252</v>
      </c>
    </row>
    <row r="468">
      <c r="A468" s="54" t="n">
        <v>212522538</v>
      </c>
      <c r="B468" s="54" t="inlineStr">
        <is>
          <t>VIVO</t>
        </is>
      </c>
      <c r="C468" s="54" t="n">
        <v>15998622041</v>
      </c>
      <c r="D468" s="54" t="inlineStr">
        <is>
          <t>41200</t>
        </is>
      </c>
      <c r="E468" s="54" t="inlineStr">
        <is>
          <t>GESTAO OP DUARTINA</t>
        </is>
      </c>
      <c r="F468" s="49" t="inlineStr">
        <is>
          <t>010323124</t>
        </is>
      </c>
      <c r="G468" s="68" t="inlineStr">
        <is>
          <t>NAHOMI GONCALVES DOMINGUES</t>
        </is>
      </c>
      <c r="H468" s="49" t="inlineStr">
        <is>
          <t>45711511874</t>
        </is>
      </c>
      <c r="I468" s="55" t="n">
        <v>46235</v>
      </c>
      <c r="J468" s="84" t="n">
        <v>39.59</v>
      </c>
      <c r="K468" s="57" t="inlineStr">
        <is>
          <t>ATIVA</t>
        </is>
      </c>
      <c r="L468" s="58" t="n">
        <v>46252</v>
      </c>
    </row>
    <row r="469">
      <c r="A469" s="54" t="n">
        <v>212522538</v>
      </c>
      <c r="B469" s="54" t="inlineStr">
        <is>
          <t>VIVO</t>
        </is>
      </c>
      <c r="C469" s="54" t="n">
        <v>15997920924</v>
      </c>
      <c r="D469" s="54" t="n">
        <v>533</v>
      </c>
      <c r="E469" s="54" t="inlineStr">
        <is>
          <t>QUALIDADE RS</t>
        </is>
      </c>
      <c r="F469" s="9" t="n">
        <v>410100295</v>
      </c>
      <c r="G469" s="9" t="inlineStr">
        <is>
          <t>NATACHA BORGES NASINIAK</t>
        </is>
      </c>
      <c r="H469" s="49" t="inlineStr">
        <is>
          <t>03525393059</t>
        </is>
      </c>
      <c r="I469" s="55" t="n">
        <v>46235</v>
      </c>
      <c r="J469" s="84" t="n">
        <v>39.59</v>
      </c>
      <c r="K469" s="57" t="inlineStr">
        <is>
          <t>ATIVA</t>
        </is>
      </c>
      <c r="L469" s="58" t="n">
        <v>46252</v>
      </c>
    </row>
    <row r="470">
      <c r="A470" s="54" t="inlineStr">
        <is>
          <t>71768171</t>
        </is>
      </c>
      <c r="B470" s="54" t="inlineStr">
        <is>
          <t>TIM</t>
        </is>
      </c>
      <c r="C470" s="49" t="inlineStr">
        <is>
          <t>16982220092</t>
        </is>
      </c>
      <c r="D470" s="54" t="inlineStr">
        <is>
          <t>525</t>
        </is>
      </c>
      <c r="E470" s="54" t="inlineStr">
        <is>
          <t>QUALIDADE PR1</t>
        </is>
      </c>
      <c r="F470" s="49" t="n"/>
      <c r="G470" s="54" t="inlineStr">
        <is>
          <t>MICHEL ROSA DE MORAES</t>
        </is>
      </c>
      <c r="H470" s="49" t="inlineStr">
        <is>
          <t>46248321833</t>
        </is>
      </c>
      <c r="I470" s="55" t="n">
        <v>46235</v>
      </c>
      <c r="J470" s="84" t="n">
        <v>41.27</v>
      </c>
      <c r="K470" s="57" t="inlineStr">
        <is>
          <t>ATIVA</t>
        </is>
      </c>
      <c r="L470" s="58" t="n">
        <v>46252</v>
      </c>
    </row>
    <row r="471">
      <c r="A471" s="54" t="n">
        <v>212522538</v>
      </c>
      <c r="B471" s="54" t="inlineStr">
        <is>
          <t>VIVO</t>
        </is>
      </c>
      <c r="C471" s="54" t="n">
        <v>15996031684</v>
      </c>
      <c r="D471" s="54" t="inlineStr">
        <is>
          <t>2120</t>
        </is>
      </c>
      <c r="E471" s="54" t="inlineStr">
        <is>
          <t>SSMA MS1</t>
        </is>
      </c>
      <c r="F471" s="49" t="inlineStr">
        <is>
          <t>210102880</t>
        </is>
      </c>
      <c r="G471" s="54" t="inlineStr">
        <is>
          <t>NATHALIA CAMPOS DOS SANTOS DA SILVA</t>
        </is>
      </c>
      <c r="H471" s="49" t="inlineStr">
        <is>
          <t>07221367140</t>
        </is>
      </c>
      <c r="I471" s="55" t="n">
        <v>46235</v>
      </c>
      <c r="J471" s="84" t="n">
        <v>39.59</v>
      </c>
      <c r="K471" s="57" t="inlineStr">
        <is>
          <t>ATIVA</t>
        </is>
      </c>
      <c r="L471" s="58" t="n">
        <v>46252</v>
      </c>
    </row>
    <row r="472">
      <c r="A472" s="54" t="inlineStr">
        <is>
          <t>71768171</t>
        </is>
      </c>
      <c r="B472" s="54" t="inlineStr">
        <is>
          <t>TIM</t>
        </is>
      </c>
      <c r="C472" s="49" t="inlineStr">
        <is>
          <t>15981910161</t>
        </is>
      </c>
      <c r="D472" s="54" t="inlineStr">
        <is>
          <t>10</t>
        </is>
      </c>
      <c r="E472" s="54" t="inlineStr">
        <is>
          <t>RECURSOS HUMANOS</t>
        </is>
      </c>
      <c r="F472" s="49" t="inlineStr">
        <is>
          <t>410101023</t>
        </is>
      </c>
      <c r="G472" s="54" t="inlineStr">
        <is>
          <t>MONIQUE DA SILVA RIBEIRO</t>
        </is>
      </c>
      <c r="H472" s="49" t="inlineStr">
        <is>
          <t>03743342006</t>
        </is>
      </c>
      <c r="I472" s="55" t="n">
        <v>46235</v>
      </c>
      <c r="J472" s="84" t="n">
        <v>32</v>
      </c>
      <c r="K472" s="57" t="inlineStr">
        <is>
          <t>ATIVA</t>
        </is>
      </c>
      <c r="L472" s="58" t="n">
        <v>46252</v>
      </c>
    </row>
    <row r="473">
      <c r="A473" s="54" t="n">
        <v>212522538</v>
      </c>
      <c r="B473" s="54" t="inlineStr">
        <is>
          <t>VIVO</t>
        </is>
      </c>
      <c r="C473" s="54" t="n">
        <v>13997042837</v>
      </c>
      <c r="D473" s="54" t="inlineStr">
        <is>
          <t>42200</t>
        </is>
      </c>
      <c r="E473" s="54" t="inlineStr">
        <is>
          <t>GESTAO OP SANTA BRANCA</t>
        </is>
      </c>
      <c r="F473" s="49" t="inlineStr">
        <is>
          <t>010417121</t>
        </is>
      </c>
      <c r="G473" s="54" t="inlineStr">
        <is>
          <t>NICOLE CANDIDO DO NASCIMENTO</t>
        </is>
      </c>
      <c r="H473" s="49" t="inlineStr">
        <is>
          <t>51733888896</t>
        </is>
      </c>
      <c r="I473" s="55" t="n">
        <v>46235</v>
      </c>
      <c r="J473" s="84" t="n">
        <v>39.59</v>
      </c>
      <c r="K473" s="57" t="inlineStr">
        <is>
          <t>ATIVA</t>
        </is>
      </c>
      <c r="L473" s="58" t="n">
        <v>46252</v>
      </c>
    </row>
    <row r="474">
      <c r="A474" s="54" t="n">
        <v>212522538</v>
      </c>
      <c r="B474" s="54" t="inlineStr">
        <is>
          <t>VIVO</t>
        </is>
      </c>
      <c r="C474" s="54" t="n">
        <v>15997185561</v>
      </c>
      <c r="D474" s="54" t="inlineStr">
        <is>
          <t>2131</t>
        </is>
      </c>
      <c r="E474" s="54" t="inlineStr">
        <is>
          <t>SSMA DUARTINA</t>
        </is>
      </c>
      <c r="F474" s="49" t="inlineStr">
        <is>
          <t>010317877</t>
        </is>
      </c>
      <c r="G474" s="54" t="inlineStr">
        <is>
          <t>NICOLI RODRIGUES PERISSATTO</t>
        </is>
      </c>
      <c r="H474" s="49" t="inlineStr">
        <is>
          <t>53084449864</t>
        </is>
      </c>
      <c r="I474" s="55" t="n">
        <v>46235</v>
      </c>
      <c r="J474" s="84" t="n">
        <v>39.59</v>
      </c>
      <c r="K474" s="57" t="inlineStr">
        <is>
          <t>ATIVA</t>
        </is>
      </c>
      <c r="L474" s="58" t="n">
        <v>46252</v>
      </c>
    </row>
    <row r="475">
      <c r="A475" s="54" t="n">
        <v>212522538</v>
      </c>
      <c r="B475" s="54" t="inlineStr">
        <is>
          <t>VIVO</t>
        </is>
      </c>
      <c r="C475" s="54" t="n">
        <v>15998614381</v>
      </c>
      <c r="D475" s="54" t="inlineStr">
        <is>
          <t>42550</t>
        </is>
      </c>
      <c r="E475" s="54" t="inlineStr">
        <is>
          <t>C02 - SUZANO CBO</t>
        </is>
      </c>
      <c r="F475" s="49" t="inlineStr">
        <is>
          <t>010316588</t>
        </is>
      </c>
      <c r="G475" s="54" t="inlineStr">
        <is>
          <t>NILTON CESAR AVILA</t>
        </is>
      </c>
      <c r="H475" s="49" t="inlineStr">
        <is>
          <t>30371207894</t>
        </is>
      </c>
      <c r="I475" s="55" t="n">
        <v>46235</v>
      </c>
      <c r="J475" s="84" t="n">
        <v>39.59</v>
      </c>
      <c r="K475" s="57" t="inlineStr">
        <is>
          <t>ATIVA</t>
        </is>
      </c>
      <c r="L475" s="58" t="n">
        <v>46252</v>
      </c>
    </row>
    <row r="476">
      <c r="A476" s="54" t="n">
        <v>212522538</v>
      </c>
      <c r="B476" s="54" t="inlineStr">
        <is>
          <t>VIVO</t>
        </is>
      </c>
      <c r="C476" s="54" t="n">
        <v>67998191480</v>
      </c>
      <c r="D476" s="54" t="n">
        <v>342</v>
      </c>
      <c r="E476" s="54" t="inlineStr">
        <is>
          <t>NOVA MUTUM</t>
        </is>
      </c>
      <c r="F476" s="49" t="n"/>
      <c r="G476" s="49" t="inlineStr">
        <is>
          <t>NOVA MT - VERIFICAR</t>
        </is>
      </c>
      <c r="H476" s="49" t="n"/>
      <c r="I476" s="55" t="n">
        <v>46235</v>
      </c>
      <c r="J476" s="84" t="n">
        <v>54.63</v>
      </c>
      <c r="K476" s="54" t="inlineStr">
        <is>
          <t>VERIFICAR</t>
        </is>
      </c>
      <c r="L476" s="58" t="n">
        <v>46252</v>
      </c>
    </row>
    <row r="477">
      <c r="A477" s="54" t="n">
        <v>212522538</v>
      </c>
      <c r="B477" s="54" t="inlineStr">
        <is>
          <t>VIVO</t>
        </is>
      </c>
      <c r="C477" s="54" t="n">
        <v>15996276067</v>
      </c>
      <c r="D477" s="54" t="n">
        <v>342</v>
      </c>
      <c r="E477" s="68" t="inlineStr">
        <is>
          <t>NOVA MUTUM</t>
        </is>
      </c>
      <c r="F477" s="49" t="n"/>
      <c r="G477" s="74" t="inlineStr">
        <is>
          <t>NOVA MT - VERIFICAR</t>
        </is>
      </c>
      <c r="H477" s="49" t="n"/>
      <c r="I477" s="55" t="n">
        <v>46235</v>
      </c>
      <c r="J477" s="84" t="n">
        <v>39.59</v>
      </c>
      <c r="K477" s="54" t="inlineStr">
        <is>
          <t>VERIFICAR</t>
        </is>
      </c>
      <c r="L477" s="58" t="n">
        <v>46252</v>
      </c>
    </row>
    <row r="478">
      <c r="A478" s="54" t="n">
        <v>212522538</v>
      </c>
      <c r="B478" s="54" t="inlineStr">
        <is>
          <t>VIVO</t>
        </is>
      </c>
      <c r="C478" s="54" t="n">
        <v>67999572782</v>
      </c>
      <c r="D478" s="54" t="n">
        <v>342</v>
      </c>
      <c r="E478" s="68" t="inlineStr">
        <is>
          <t>NOVA MUTUM</t>
        </is>
      </c>
      <c r="F478" s="49" t="n"/>
      <c r="G478" s="74" t="inlineStr">
        <is>
          <t>NOVA MT - VERIFICAR</t>
        </is>
      </c>
      <c r="H478" s="49" t="n"/>
      <c r="I478" s="55" t="n">
        <v>46235</v>
      </c>
      <c r="J478" s="84" t="n">
        <v>54.63</v>
      </c>
      <c r="K478" s="54" t="inlineStr">
        <is>
          <t>VERIFICAR</t>
        </is>
      </c>
      <c r="L478" s="58" t="n">
        <v>46252</v>
      </c>
    </row>
    <row r="479">
      <c r="A479" s="54" t="n">
        <v>212522538</v>
      </c>
      <c r="B479" s="54" t="inlineStr">
        <is>
          <t>VIVO</t>
        </is>
      </c>
      <c r="C479" s="54" t="n">
        <v>15997339049</v>
      </c>
      <c r="D479" s="54" t="n">
        <v>342</v>
      </c>
      <c r="E479" s="68" t="inlineStr">
        <is>
          <t>NOVA MUTUM</t>
        </is>
      </c>
      <c r="F479" s="49" t="n"/>
      <c r="G479" s="74" t="inlineStr">
        <is>
          <t>NOVA MT - VERIFICAR</t>
        </is>
      </c>
      <c r="H479" s="49" t="n"/>
      <c r="I479" s="55" t="n">
        <v>46235</v>
      </c>
      <c r="J479" s="84" t="n">
        <v>39.59</v>
      </c>
      <c r="K479" s="54" t="inlineStr">
        <is>
          <t>VERIFICAR</t>
        </is>
      </c>
      <c r="L479" s="58" t="n">
        <v>46252</v>
      </c>
    </row>
    <row r="480">
      <c r="A480" s="54" t="inlineStr">
        <is>
          <t>71768171</t>
        </is>
      </c>
      <c r="B480" s="54" t="inlineStr">
        <is>
          <t>TIM</t>
        </is>
      </c>
      <c r="C480" s="54" t="inlineStr">
        <is>
          <t>15981450811</t>
        </is>
      </c>
      <c r="D480" s="54" t="inlineStr">
        <is>
          <t>2153</t>
        </is>
      </c>
      <c r="E480" s="54" t="inlineStr">
        <is>
          <t>SSMA JAGUARIAIVA</t>
        </is>
      </c>
      <c r="F480" s="49" t="inlineStr">
        <is>
          <t>701002868</t>
        </is>
      </c>
      <c r="G480" s="54" t="inlineStr">
        <is>
          <t>OELITON RODRIGUES</t>
        </is>
      </c>
      <c r="H480" s="49" t="inlineStr">
        <is>
          <t>11425047947</t>
        </is>
      </c>
      <c r="I480" s="55" t="n">
        <v>46235</v>
      </c>
      <c r="J480" s="84" t="n">
        <v>32</v>
      </c>
      <c r="K480" s="57" t="inlineStr">
        <is>
          <t>ATIVA</t>
        </is>
      </c>
      <c r="L480" s="58" t="n">
        <v>46252</v>
      </c>
    </row>
    <row r="481">
      <c r="A481" s="54" t="n">
        <v>212522538</v>
      </c>
      <c r="B481" s="54" t="inlineStr">
        <is>
          <t>VIVO</t>
        </is>
      </c>
      <c r="C481" s="54" t="n">
        <v>15996664064</v>
      </c>
      <c r="D481" s="54" t="n">
        <v>342</v>
      </c>
      <c r="E481" s="68" t="inlineStr">
        <is>
          <t>NOVA MUTUM</t>
        </is>
      </c>
      <c r="F481" s="49" t="n"/>
      <c r="G481" s="74" t="inlineStr">
        <is>
          <t>NOVA MT - VERIFICAR</t>
        </is>
      </c>
      <c r="H481" s="49" t="n"/>
      <c r="I481" s="55" t="n">
        <v>46235</v>
      </c>
      <c r="J481" s="84" t="n">
        <v>39.59</v>
      </c>
      <c r="K481" s="54" t="inlineStr">
        <is>
          <t>VERIFICAR</t>
        </is>
      </c>
      <c r="L481" s="58" t="n">
        <v>46252</v>
      </c>
    </row>
    <row r="482">
      <c r="A482" s="54" t="n">
        <v>212522538</v>
      </c>
      <c r="B482" s="54" t="inlineStr">
        <is>
          <t>VIVO</t>
        </is>
      </c>
      <c r="C482" s="54" t="n">
        <v>15996027182</v>
      </c>
      <c r="D482" s="54" t="n">
        <v>342</v>
      </c>
      <c r="E482" s="68" t="inlineStr">
        <is>
          <t>NOVA MUTUM</t>
        </is>
      </c>
      <c r="F482" s="49" t="n"/>
      <c r="G482" s="74" t="inlineStr">
        <is>
          <t>NOVA MT - VERIFICAR</t>
        </is>
      </c>
      <c r="H482" s="49" t="n"/>
      <c r="I482" s="55" t="n">
        <v>46235</v>
      </c>
      <c r="J482" s="84" t="n">
        <v>39.59</v>
      </c>
      <c r="K482" s="54" t="inlineStr">
        <is>
          <t>VERIFICAR</t>
        </is>
      </c>
      <c r="L482" s="58" t="n">
        <v>46252</v>
      </c>
    </row>
    <row r="483">
      <c r="A483" s="54" t="n">
        <v>212522538</v>
      </c>
      <c r="B483" s="54" t="inlineStr">
        <is>
          <t>VIVO</t>
        </is>
      </c>
      <c r="C483" s="59" t="n">
        <v>15996158466</v>
      </c>
      <c r="D483" s="54" t="n">
        <v>2001</v>
      </c>
      <c r="E483" s="54" t="inlineStr">
        <is>
          <t>OFICINA MATRIZ</t>
        </is>
      </c>
      <c r="F483" s="49" t="inlineStr">
        <is>
          <t>FORA SIGO</t>
        </is>
      </c>
      <c r="G483" s="54" t="inlineStr">
        <is>
          <t>OFICINA MATRIZ</t>
        </is>
      </c>
      <c r="H483" s="49" t="n"/>
      <c r="I483" s="55" t="n">
        <v>46235</v>
      </c>
      <c r="J483" s="84" t="n">
        <v>39.59</v>
      </c>
      <c r="K483" s="54" t="inlineStr">
        <is>
          <t>ATIVA</t>
        </is>
      </c>
      <c r="L483" s="58" t="n">
        <v>46252</v>
      </c>
    </row>
    <row r="484">
      <c r="A484" s="54" t="n">
        <v>212522538</v>
      </c>
      <c r="B484" s="54" t="inlineStr">
        <is>
          <t>VIVO</t>
        </is>
      </c>
      <c r="C484" s="54" t="n">
        <v>15997461971</v>
      </c>
      <c r="D484" s="54" t="n">
        <v>11</v>
      </c>
      <c r="E484" s="54" t="inlineStr">
        <is>
          <t>CONTROLADORIA</t>
        </is>
      </c>
      <c r="F484" s="49" t="inlineStr">
        <is>
          <t>FORA SIGO</t>
        </is>
      </c>
      <c r="G484" s="54" t="inlineStr">
        <is>
          <t>P&amp;D Tecnologia</t>
        </is>
      </c>
      <c r="H484" s="49" t="n"/>
      <c r="I484" s="55" t="n">
        <v>46235</v>
      </c>
      <c r="J484" s="84" t="n">
        <v>39.59</v>
      </c>
      <c r="K484" s="54" t="inlineStr">
        <is>
          <t>ATIVA</t>
        </is>
      </c>
      <c r="L484" s="58" t="n">
        <v>46252</v>
      </c>
    </row>
    <row r="485">
      <c r="A485" s="54" t="n">
        <v>212522538</v>
      </c>
      <c r="B485" s="54" t="inlineStr">
        <is>
          <t>VIVO</t>
        </is>
      </c>
      <c r="C485" s="54" t="n">
        <v>15996665523</v>
      </c>
      <c r="D485" s="54" t="n">
        <v>42401</v>
      </c>
      <c r="E485" s="54" t="inlineStr">
        <is>
          <t>C02 - SUZANO SMA</t>
        </is>
      </c>
      <c r="F485" s="54" t="inlineStr">
        <is>
          <t>010319399</t>
        </is>
      </c>
      <c r="G485" s="54" t="inlineStr">
        <is>
          <t>PALOMA ANGELA DA SILVA MONTEIRO</t>
        </is>
      </c>
      <c r="H485" s="49" t="inlineStr">
        <is>
          <t>52220992888</t>
        </is>
      </c>
      <c r="I485" s="55" t="n">
        <v>46235</v>
      </c>
      <c r="J485" s="84" t="n">
        <v>39.59</v>
      </c>
      <c r="K485" s="57" t="inlineStr">
        <is>
          <t>ATIVA</t>
        </is>
      </c>
      <c r="L485" s="58" t="n">
        <v>46252</v>
      </c>
    </row>
    <row r="486">
      <c r="A486" s="54" t="n">
        <v>212522538</v>
      </c>
      <c r="B486" s="54" t="inlineStr">
        <is>
          <t>VIVO</t>
        </is>
      </c>
      <c r="C486" s="54" t="n">
        <v>13997588211</v>
      </c>
      <c r="D486" s="54" t="inlineStr">
        <is>
          <t>41200</t>
        </is>
      </c>
      <c r="E486" s="54" t="inlineStr">
        <is>
          <t>GESTAO OP DUARTINA</t>
        </is>
      </c>
      <c r="F486" s="49" t="inlineStr">
        <is>
          <t>010316745</t>
        </is>
      </c>
      <c r="G486" s="54" t="inlineStr">
        <is>
          <t>PAMELA RUFATTO GARCIA</t>
        </is>
      </c>
      <c r="H486" s="49" t="inlineStr">
        <is>
          <t>49657403863</t>
        </is>
      </c>
      <c r="I486" s="55" t="n">
        <v>46235</v>
      </c>
      <c r="J486" s="84" t="n">
        <v>39.59</v>
      </c>
      <c r="K486" s="57" t="inlineStr">
        <is>
          <t>ATIVA</t>
        </is>
      </c>
      <c r="L486" s="58" t="n">
        <v>46252</v>
      </c>
    </row>
    <row r="487">
      <c r="A487" s="54" t="n">
        <v>212522538</v>
      </c>
      <c r="B487" s="54" t="inlineStr">
        <is>
          <t>VIVO</t>
        </is>
      </c>
      <c r="C487" s="54" t="n">
        <v>15998465688</v>
      </c>
      <c r="D487" s="54" t="inlineStr">
        <is>
          <t>41200</t>
        </is>
      </c>
      <c r="E487" s="54" t="inlineStr">
        <is>
          <t>GESTAO OP DUARTINA</t>
        </is>
      </c>
      <c r="F487" s="49" t="n"/>
      <c r="G487" s="54" t="inlineStr">
        <is>
          <t>PAMELA RUFATTO GARCIA</t>
        </is>
      </c>
      <c r="H487" s="49" t="inlineStr">
        <is>
          <t>49657403863</t>
        </is>
      </c>
      <c r="I487" s="55" t="n">
        <v>46235</v>
      </c>
      <c r="J487" s="84" t="n">
        <v>39.59</v>
      </c>
      <c r="K487" s="57" t="inlineStr">
        <is>
          <t>ATIVA</t>
        </is>
      </c>
      <c r="L487" s="58" t="n">
        <v>46252</v>
      </c>
    </row>
    <row r="488">
      <c r="A488" s="54" t="n">
        <v>212522538</v>
      </c>
      <c r="B488" s="54" t="inlineStr">
        <is>
          <t>VIVO</t>
        </is>
      </c>
      <c r="C488" s="54" t="n">
        <v>15997233414</v>
      </c>
      <c r="D488" s="54" t="inlineStr">
        <is>
          <t>13</t>
        </is>
      </c>
      <c r="E488" s="54" t="inlineStr">
        <is>
          <t>DIRETORIA E AUDITORIA</t>
        </is>
      </c>
      <c r="F488" s="49" t="inlineStr">
        <is>
          <t>010612763</t>
        </is>
      </c>
      <c r="G488" s="54" t="inlineStr">
        <is>
          <t>PAOLA MARIANO</t>
        </is>
      </c>
      <c r="H488" s="49" t="inlineStr">
        <is>
          <t>41821892801</t>
        </is>
      </c>
      <c r="I488" s="55" t="n">
        <v>46235</v>
      </c>
      <c r="J488" s="84" t="n">
        <v>39.59</v>
      </c>
      <c r="K488" s="57" t="inlineStr">
        <is>
          <t>ATIVA</t>
        </is>
      </c>
      <c r="L488" s="58" t="n">
        <v>46252</v>
      </c>
    </row>
    <row r="489">
      <c r="A489" s="54" t="n">
        <v>212522538</v>
      </c>
      <c r="B489" s="54" t="inlineStr">
        <is>
          <t>VIVO</t>
        </is>
      </c>
      <c r="C489" s="63" t="n">
        <v>15991732588</v>
      </c>
      <c r="D489" s="63" t="inlineStr">
        <is>
          <t>91006</t>
        </is>
      </c>
      <c r="E489" s="63" t="inlineStr">
        <is>
          <t>DIRETORIA EXECUTIVA</t>
        </is>
      </c>
      <c r="F489" s="64" t="inlineStr">
        <is>
          <t>FAMILIA</t>
        </is>
      </c>
      <c r="G489" s="65" t="inlineStr">
        <is>
          <t>Paula De Souza Prudente</t>
        </is>
      </c>
      <c r="H489" s="49" t="inlineStr">
        <is>
          <t>35156439829</t>
        </is>
      </c>
      <c r="I489" s="55" t="n">
        <v>46235</v>
      </c>
      <c r="J489" s="84" t="n">
        <v>149.98</v>
      </c>
      <c r="K489" s="57" t="inlineStr">
        <is>
          <t>ATIVA</t>
        </is>
      </c>
      <c r="L489" s="58" t="n">
        <v>46252</v>
      </c>
    </row>
    <row r="490">
      <c r="A490" s="54" t="n">
        <v>212522538</v>
      </c>
      <c r="B490" s="54" t="inlineStr">
        <is>
          <t>VIVO</t>
        </is>
      </c>
      <c r="C490" s="54" t="n">
        <v>67999711145</v>
      </c>
      <c r="D490" s="54" t="inlineStr">
        <is>
          <t>32301</t>
        </is>
      </c>
      <c r="E490" s="54" t="inlineStr">
        <is>
          <t>C07 - SUZANO MANUTENCAO TRES LAGOAS</t>
        </is>
      </c>
      <c r="F490" s="49" t="inlineStr">
        <is>
          <t>210102709</t>
        </is>
      </c>
      <c r="G490" s="54" t="inlineStr">
        <is>
          <t>PAULO ROBERTO DOS SANTOS</t>
        </is>
      </c>
      <c r="H490" s="49" t="inlineStr">
        <is>
          <t>48058238104</t>
        </is>
      </c>
      <c r="I490" s="55" t="n">
        <v>46235</v>
      </c>
      <c r="J490" s="84" t="n">
        <v>54.63</v>
      </c>
      <c r="K490" s="57" t="inlineStr">
        <is>
          <t>ATIVA</t>
        </is>
      </c>
      <c r="L490" s="58" t="n">
        <v>46252</v>
      </c>
    </row>
    <row r="491">
      <c r="A491" s="54" t="n">
        <v>212522538</v>
      </c>
      <c r="B491" s="54" t="inlineStr">
        <is>
          <t>VIVO</t>
        </is>
      </c>
      <c r="C491" s="54" t="n">
        <v>15998587185</v>
      </c>
      <c r="D491" s="54" t="n">
        <v>32301</v>
      </c>
      <c r="E491" s="54" t="inlineStr">
        <is>
          <t>C07 - SUZANO MANUTENCAO TRES LAGOAS</t>
        </is>
      </c>
      <c r="F491" s="49" t="inlineStr">
        <is>
          <t>210106493</t>
        </is>
      </c>
      <c r="G491" s="49" t="inlineStr">
        <is>
          <t>PEDRO ANJOS DOS SANTOS</t>
        </is>
      </c>
      <c r="H491" s="49" t="inlineStr">
        <is>
          <t>06770695537</t>
        </is>
      </c>
      <c r="I491" s="55" t="n">
        <v>46235</v>
      </c>
      <c r="J491" s="84" t="n">
        <v>39.59</v>
      </c>
      <c r="K491" s="57" t="inlineStr">
        <is>
          <t>ATIVA</t>
        </is>
      </c>
      <c r="L491" s="58" t="n">
        <v>46252</v>
      </c>
    </row>
    <row r="492">
      <c r="A492" s="54" t="n">
        <v>212522538</v>
      </c>
      <c r="B492" s="54" t="inlineStr">
        <is>
          <t>VIVO</t>
        </is>
      </c>
      <c r="C492" s="54" t="n">
        <v>15996216671</v>
      </c>
      <c r="D492" s="54" t="inlineStr">
        <is>
          <t>2170</t>
        </is>
      </c>
      <c r="E492" s="54" t="inlineStr">
        <is>
          <t>SSMA RS</t>
        </is>
      </c>
      <c r="F492" s="49" t="inlineStr">
        <is>
          <t>410100863</t>
        </is>
      </c>
      <c r="G492" s="54" t="inlineStr">
        <is>
          <t>PEDRO GERMANO DA SILVA DE OLIVEIRA</t>
        </is>
      </c>
      <c r="H492" s="49" t="inlineStr">
        <is>
          <t>02493984005</t>
        </is>
      </c>
      <c r="I492" s="55" t="n">
        <v>46235</v>
      </c>
      <c r="J492" s="84" t="n">
        <v>39.59</v>
      </c>
      <c r="K492" s="57" t="inlineStr">
        <is>
          <t>ATIVA</t>
        </is>
      </c>
      <c r="L492" s="58" t="n">
        <v>46252</v>
      </c>
    </row>
    <row r="493">
      <c r="A493" s="54" t="n">
        <v>212522538</v>
      </c>
      <c r="B493" s="54" t="inlineStr">
        <is>
          <t>VIVO</t>
        </is>
      </c>
      <c r="C493" s="54" t="n">
        <v>15998478462</v>
      </c>
      <c r="D493" s="54" t="inlineStr">
        <is>
          <t>32300</t>
        </is>
      </c>
      <c r="E493" s="54" t="inlineStr">
        <is>
          <t>GESTAO OP TRES LAGOAS</t>
        </is>
      </c>
      <c r="F493" s="49" t="inlineStr">
        <is>
          <t>210106215</t>
        </is>
      </c>
      <c r="G493" s="54" t="inlineStr">
        <is>
          <t>PEDRO HENRIQUE DE OLIVEIRA ALMEIDA</t>
        </is>
      </c>
      <c r="H493" s="49" t="inlineStr">
        <is>
          <t>40526991810</t>
        </is>
      </c>
      <c r="I493" s="55" t="n">
        <v>46235</v>
      </c>
      <c r="J493" s="84" t="n">
        <v>39.59</v>
      </c>
      <c r="K493" s="57" t="inlineStr">
        <is>
          <t>ATIVA</t>
        </is>
      </c>
      <c r="L493" s="58" t="n">
        <v>46252</v>
      </c>
    </row>
    <row r="494">
      <c r="A494" s="54" t="n">
        <v>212522538</v>
      </c>
      <c r="B494" s="54" t="inlineStr">
        <is>
          <t>VIVO</t>
        </is>
      </c>
      <c r="C494" s="54" t="n">
        <v>15996657757</v>
      </c>
      <c r="D494" s="54" t="inlineStr">
        <is>
          <t>2135</t>
        </is>
      </c>
      <c r="E494" s="54" t="inlineStr">
        <is>
          <t>SSMA EUCATEX ITATINGA</t>
        </is>
      </c>
      <c r="F494" s="49" t="inlineStr">
        <is>
          <t>010321997</t>
        </is>
      </c>
      <c r="G494" s="54" t="inlineStr">
        <is>
          <t>PEDRO PAULO DE MORAES NETO</t>
        </is>
      </c>
      <c r="H494" s="49" t="inlineStr">
        <is>
          <t>44584383871</t>
        </is>
      </c>
      <c r="I494" s="55" t="n">
        <v>46235</v>
      </c>
      <c r="J494" s="84" t="n">
        <v>39.59</v>
      </c>
      <c r="K494" s="57" t="inlineStr">
        <is>
          <t>ATIVA</t>
        </is>
      </c>
      <c r="L494" s="58" t="n">
        <v>46252</v>
      </c>
    </row>
    <row r="495">
      <c r="A495" s="54" t="n">
        <v>212522538</v>
      </c>
      <c r="B495" s="54" t="inlineStr">
        <is>
          <t>VIVO</t>
        </is>
      </c>
      <c r="C495" s="54" t="n">
        <v>15996864158</v>
      </c>
      <c r="D495" s="54" t="inlineStr">
        <is>
          <t>2135</t>
        </is>
      </c>
      <c r="E495" s="54" t="inlineStr">
        <is>
          <t>SSMA EUCATEX ITATINGA</t>
        </is>
      </c>
      <c r="F495" s="49" t="inlineStr">
        <is>
          <t>010321997</t>
        </is>
      </c>
      <c r="G495" s="54" t="inlineStr">
        <is>
          <t>PEDRO PAULO DE MORAES NETO</t>
        </is>
      </c>
      <c r="H495" s="49" t="inlineStr">
        <is>
          <t>44584383871</t>
        </is>
      </c>
      <c r="I495" s="55" t="n">
        <v>46235</v>
      </c>
      <c r="J495" s="84" t="n">
        <v>39.59</v>
      </c>
      <c r="K495" s="57" t="inlineStr">
        <is>
          <t>ATIVA</t>
        </is>
      </c>
      <c r="L495" s="58" t="n">
        <v>46252</v>
      </c>
    </row>
    <row r="496">
      <c r="A496" s="54" t="n">
        <v>212522538</v>
      </c>
      <c r="B496" s="54" t="inlineStr">
        <is>
          <t>VIVO</t>
        </is>
      </c>
      <c r="C496" s="54" t="n">
        <v>51996937641</v>
      </c>
      <c r="D496" s="54" t="inlineStr">
        <is>
          <t>53290</t>
        </is>
      </c>
      <c r="E496" s="54" t="inlineStr">
        <is>
          <t>C08 - CMPC SAO GABRIEL MECANIZADO</t>
        </is>
      </c>
      <c r="F496" s="49" t="inlineStr">
        <is>
          <t>410100211</t>
        </is>
      </c>
      <c r="G496" s="54" t="inlineStr">
        <is>
          <t>PEDRO WILLIAM DE CAMARGO LEDERHANS</t>
        </is>
      </c>
      <c r="H496" s="49" t="inlineStr">
        <is>
          <t>02773777069</t>
        </is>
      </c>
      <c r="I496" s="55" t="n">
        <v>46235</v>
      </c>
      <c r="J496" s="84" t="n">
        <v>39.59</v>
      </c>
      <c r="K496" s="57" t="inlineStr">
        <is>
          <t>ATIVA</t>
        </is>
      </c>
      <c r="L496" s="58" t="n">
        <v>46252</v>
      </c>
    </row>
    <row r="497">
      <c r="A497" s="54" t="n">
        <v>212522538</v>
      </c>
      <c r="B497" s="54" t="inlineStr">
        <is>
          <t>VIVO</t>
        </is>
      </c>
      <c r="C497" s="54" t="n">
        <v>15998149036</v>
      </c>
      <c r="D497" s="54" t="inlineStr">
        <is>
          <t>41201</t>
        </is>
      </c>
      <c r="E497" s="54" t="inlineStr">
        <is>
          <t>C05 - BRACELL DUARTINA</t>
        </is>
      </c>
      <c r="F497" s="49" t="inlineStr">
        <is>
          <t>010320883</t>
        </is>
      </c>
      <c r="G497" s="54" t="inlineStr">
        <is>
          <t>PETKOVIC MAX SOUZA PEREIRA</t>
        </is>
      </c>
      <c r="H497" s="49" t="inlineStr">
        <is>
          <t>05287933495</t>
        </is>
      </c>
      <c r="I497" s="55" t="n">
        <v>46235</v>
      </c>
      <c r="J497" s="84" t="n">
        <v>39.59</v>
      </c>
      <c r="K497" s="57" t="inlineStr">
        <is>
          <t>ATIVA</t>
        </is>
      </c>
      <c r="L497" s="58" t="n">
        <v>46252</v>
      </c>
    </row>
    <row r="498">
      <c r="A498" s="54" t="n">
        <v>212522538</v>
      </c>
      <c r="B498" s="54" t="inlineStr">
        <is>
          <t>VIVO</t>
        </is>
      </c>
      <c r="C498" s="54" t="n">
        <v>15996033481</v>
      </c>
      <c r="D498" s="54" t="inlineStr">
        <is>
          <t>13</t>
        </is>
      </c>
      <c r="E498" s="54" t="inlineStr">
        <is>
          <t>DIRETORIA E AUDITORIA</t>
        </is>
      </c>
      <c r="F498" s="49" t="n"/>
      <c r="G498" s="54" t="inlineStr">
        <is>
          <t>Rafael Bezerra</t>
        </is>
      </c>
      <c r="H498" s="49" t="inlineStr">
        <is>
          <t>57545562000138</t>
        </is>
      </c>
      <c r="I498" s="55" t="n">
        <v>46235</v>
      </c>
      <c r="J498" s="84" t="n">
        <v>39.59</v>
      </c>
      <c r="K498" s="57" t="inlineStr">
        <is>
          <t>ATIVA</t>
        </is>
      </c>
      <c r="L498" s="58" t="n">
        <v>46252</v>
      </c>
    </row>
    <row r="499">
      <c r="A499" s="54" t="n">
        <v>212522538</v>
      </c>
      <c r="B499" s="54" t="inlineStr">
        <is>
          <t>VIVO</t>
        </is>
      </c>
      <c r="C499" s="70" t="n">
        <v>15998268679</v>
      </c>
      <c r="D499" s="54" t="n">
        <v>41401</v>
      </c>
      <c r="E499" s="54" t="inlineStr">
        <is>
          <t>C03 - BRACELL DOURADO</t>
        </is>
      </c>
      <c r="F499" s="49" t="inlineStr">
        <is>
          <t>010320184</t>
        </is>
      </c>
      <c r="G499" s="54" t="inlineStr">
        <is>
          <t>RAFAEL DA SILVA</t>
        </is>
      </c>
      <c r="H499" s="49" t="inlineStr">
        <is>
          <t>39366280846</t>
        </is>
      </c>
      <c r="I499" s="55" t="n">
        <v>46235</v>
      </c>
      <c r="J499" s="84" t="n">
        <v>39.59</v>
      </c>
      <c r="K499" s="57" t="inlineStr">
        <is>
          <t>ATIVA</t>
        </is>
      </c>
      <c r="L499" s="58" t="n">
        <v>46252</v>
      </c>
    </row>
    <row r="500">
      <c r="A500" s="54" t="n">
        <v>212522538</v>
      </c>
      <c r="B500" s="54" t="inlineStr">
        <is>
          <t>VIVO</t>
        </is>
      </c>
      <c r="C500" s="54" t="n">
        <v>15996021491</v>
      </c>
      <c r="D500" s="54" t="inlineStr">
        <is>
          <t>41501</t>
        </is>
      </c>
      <c r="E500" s="54" t="inlineStr">
        <is>
          <t>C03 - BRACELL DOURADO</t>
        </is>
      </c>
      <c r="F500" s="49" t="inlineStr">
        <is>
          <t>010316989</t>
        </is>
      </c>
      <c r="G500" s="54" t="inlineStr">
        <is>
          <t>RAFAEL ESCOBAR CONCEICAO</t>
        </is>
      </c>
      <c r="H500" s="49" t="inlineStr">
        <is>
          <t>34461376885</t>
        </is>
      </c>
      <c r="I500" s="55" t="n">
        <v>46235</v>
      </c>
      <c r="J500" s="84" t="n">
        <v>39.59</v>
      </c>
      <c r="K500" s="57" t="inlineStr">
        <is>
          <t>ATIVA</t>
        </is>
      </c>
      <c r="L500" s="58" t="n">
        <v>46252</v>
      </c>
    </row>
    <row r="501">
      <c r="A501" s="54" t="n">
        <v>212522538</v>
      </c>
      <c r="B501" s="54" t="inlineStr">
        <is>
          <t>VIVO</t>
        </is>
      </c>
      <c r="C501" s="54" t="n">
        <v>15998468045</v>
      </c>
      <c r="D501" s="54" t="inlineStr">
        <is>
          <t>41300</t>
        </is>
      </c>
      <c r="E501" s="54" t="inlineStr">
        <is>
          <t>GESTAO OP SUZANO LPTA</t>
        </is>
      </c>
      <c r="F501" s="49" t="inlineStr">
        <is>
          <t>010322392</t>
        </is>
      </c>
      <c r="G501" s="54" t="inlineStr">
        <is>
          <t>RAFAEL ORTEGA</t>
        </is>
      </c>
      <c r="H501" s="49" t="inlineStr">
        <is>
          <t>46166855842</t>
        </is>
      </c>
      <c r="I501" s="55" t="n">
        <v>46235</v>
      </c>
      <c r="J501" s="84" t="n">
        <v>39.59</v>
      </c>
      <c r="K501" s="57" t="inlineStr">
        <is>
          <t>ATIVA</t>
        </is>
      </c>
      <c r="L501" s="58" t="n">
        <v>46252</v>
      </c>
    </row>
    <row r="502">
      <c r="A502" s="54" t="n">
        <v>212522538</v>
      </c>
      <c r="B502" s="54" t="inlineStr">
        <is>
          <t>VIVO</t>
        </is>
      </c>
      <c r="C502" s="54" t="n">
        <v>15996895255</v>
      </c>
      <c r="D502" s="54" t="n">
        <v>42550</v>
      </c>
      <c r="E502" s="68" t="inlineStr">
        <is>
          <t>C02 - SUZANO CBO</t>
        </is>
      </c>
      <c r="F502" s="49" t="inlineStr">
        <is>
          <t>FROTA</t>
        </is>
      </c>
      <c r="G502" s="68" t="inlineStr">
        <is>
          <t>FROTA SEM ID</t>
        </is>
      </c>
      <c r="H502" s="49" t="n"/>
      <c r="I502" s="55" t="n">
        <v>46235</v>
      </c>
      <c r="J502" s="84" t="n">
        <v>39.59</v>
      </c>
      <c r="K502" s="68" t="inlineStr">
        <is>
          <t>VERIFICAR</t>
        </is>
      </c>
      <c r="L502" s="58" t="n">
        <v>46252</v>
      </c>
    </row>
    <row r="503">
      <c r="A503" s="54" t="n">
        <v>212522538</v>
      </c>
      <c r="B503" s="54" t="inlineStr">
        <is>
          <t>VIVO</t>
        </is>
      </c>
      <c r="C503" s="54" t="n">
        <v>15996388815</v>
      </c>
      <c r="D503" s="54" t="inlineStr">
        <is>
          <t>417</t>
        </is>
      </c>
      <c r="E503" s="54" t="inlineStr">
        <is>
          <t>QUALIDADE SP3</t>
        </is>
      </c>
      <c r="F503" s="49" t="inlineStr">
        <is>
          <t>010320547</t>
        </is>
      </c>
      <c r="G503" s="54" t="inlineStr">
        <is>
          <t>RAFAEL PIRES DOS SANTOS</t>
        </is>
      </c>
      <c r="H503" s="49" t="inlineStr">
        <is>
          <t>42194287809</t>
        </is>
      </c>
      <c r="I503" s="55" t="n">
        <v>46235</v>
      </c>
      <c r="J503" s="84" t="n">
        <v>39.59</v>
      </c>
      <c r="K503" s="57" t="inlineStr">
        <is>
          <t>ATIVA</t>
        </is>
      </c>
      <c r="L503" s="58" t="n">
        <v>46252</v>
      </c>
    </row>
    <row r="504">
      <c r="A504" s="54" t="n">
        <v>212522538</v>
      </c>
      <c r="B504" s="54" t="inlineStr">
        <is>
          <t>VIVO</t>
        </is>
      </c>
      <c r="C504" s="54" t="n">
        <v>15998317118</v>
      </c>
      <c r="D504" s="54" t="n">
        <v>420</v>
      </c>
      <c r="E504" s="54" t="inlineStr">
        <is>
          <t>GESTAO OP SP1</t>
        </is>
      </c>
      <c r="F504" s="49" t="inlineStr">
        <is>
          <t>00054289478</t>
        </is>
      </c>
      <c r="G504" s="54" t="inlineStr">
        <is>
          <t>Rafael Rocha</t>
        </is>
      </c>
      <c r="H504" s="49" t="inlineStr">
        <is>
          <t>54289478000102</t>
        </is>
      </c>
      <c r="I504" s="55" t="n">
        <v>46235</v>
      </c>
      <c r="J504" s="84" t="n">
        <v>39.59</v>
      </c>
      <c r="K504" s="54" t="inlineStr">
        <is>
          <t>ATIVA</t>
        </is>
      </c>
      <c r="L504" s="58" t="n">
        <v>46252</v>
      </c>
    </row>
    <row r="505">
      <c r="A505" s="54" t="n">
        <v>212522538</v>
      </c>
      <c r="B505" s="54" t="inlineStr">
        <is>
          <t>VIVO</t>
        </is>
      </c>
      <c r="C505" s="54" t="n">
        <v>15998387601</v>
      </c>
      <c r="D505" s="54" t="inlineStr">
        <is>
          <t>10</t>
        </is>
      </c>
      <c r="E505" s="54" t="inlineStr">
        <is>
          <t>RECURSOS HUMANOS</t>
        </is>
      </c>
      <c r="F505" s="49" t="inlineStr">
        <is>
          <t>010420311</t>
        </is>
      </c>
      <c r="G505" s="54" t="inlineStr">
        <is>
          <t>RAFAELA SILVA BRITO</t>
        </is>
      </c>
      <c r="H505" s="49" t="inlineStr">
        <is>
          <t>36386116801</t>
        </is>
      </c>
      <c r="I505" s="55" t="n">
        <v>46235</v>
      </c>
      <c r="J505" s="84" t="n">
        <v>39.59</v>
      </c>
      <c r="K505" s="57" t="inlineStr">
        <is>
          <t>ATIVA</t>
        </is>
      </c>
      <c r="L505" s="58" t="n">
        <v>46252</v>
      </c>
    </row>
    <row r="506">
      <c r="A506" s="54" t="n">
        <v>212522538</v>
      </c>
      <c r="B506" s="54" t="inlineStr">
        <is>
          <t>VIVO</t>
        </is>
      </c>
      <c r="C506" s="59" t="n">
        <v>15991358680</v>
      </c>
      <c r="D506" s="54" t="n">
        <v>2143</v>
      </c>
      <c r="E506" s="54" t="inlineStr">
        <is>
          <t>SSMA SMA</t>
        </is>
      </c>
      <c r="F506" s="62" t="inlineStr">
        <is>
          <t>010317286</t>
        </is>
      </c>
      <c r="G506" s="54" t="inlineStr">
        <is>
          <t>RAQUEL CRISTINA MENDES MARIANO</t>
        </is>
      </c>
      <c r="H506" s="49" t="inlineStr">
        <is>
          <t>43576186816</t>
        </is>
      </c>
      <c r="I506" s="55" t="n">
        <v>46235</v>
      </c>
      <c r="J506" s="84" t="n">
        <v>39.59</v>
      </c>
      <c r="K506" s="54" t="inlineStr">
        <is>
          <t>ATIVA</t>
        </is>
      </c>
      <c r="L506" s="58" t="n">
        <v>46252</v>
      </c>
    </row>
    <row r="507">
      <c r="A507" s="54" t="n">
        <v>212522538</v>
      </c>
      <c r="B507" s="54" t="inlineStr">
        <is>
          <t>VIVO</t>
        </is>
      </c>
      <c r="C507" s="54" t="n">
        <v>15997149780</v>
      </c>
      <c r="D507" s="54" t="n">
        <v>42550</v>
      </c>
      <c r="E507" s="68" t="inlineStr">
        <is>
          <t>C02 - SUZANO CBO</t>
        </is>
      </c>
      <c r="F507" s="49" t="inlineStr">
        <is>
          <t>FROTA</t>
        </is>
      </c>
      <c r="G507" s="68" t="inlineStr">
        <is>
          <t>FROTA SEM ID</t>
        </is>
      </c>
      <c r="H507" s="49" t="n"/>
      <c r="I507" s="55" t="n">
        <v>46235</v>
      </c>
      <c r="J507" s="84" t="n">
        <v>39.59</v>
      </c>
      <c r="K507" s="68" t="inlineStr">
        <is>
          <t>VERIFICAR</t>
        </is>
      </c>
      <c r="L507" s="58" t="n">
        <v>46252</v>
      </c>
    </row>
    <row r="508">
      <c r="A508" s="54" t="n">
        <v>212522538</v>
      </c>
      <c r="B508" s="54" t="inlineStr">
        <is>
          <t>VIVO</t>
        </is>
      </c>
      <c r="C508" s="54" t="n">
        <v>15997946176</v>
      </c>
      <c r="D508" s="54" t="n">
        <v>42550</v>
      </c>
      <c r="E508" s="68" t="inlineStr">
        <is>
          <t>C02 - SUZANO CBO</t>
        </is>
      </c>
      <c r="F508" s="49" t="inlineStr">
        <is>
          <t>FROTA</t>
        </is>
      </c>
      <c r="G508" s="68" t="inlineStr">
        <is>
          <t>FROTA SEM ID</t>
        </is>
      </c>
      <c r="H508" s="49" t="n"/>
      <c r="I508" s="55" t="n">
        <v>46235</v>
      </c>
      <c r="J508" s="84" t="n">
        <v>39.59</v>
      </c>
      <c r="K508" s="68" t="inlineStr">
        <is>
          <t>VERIFICAR</t>
        </is>
      </c>
      <c r="L508" s="58" t="n">
        <v>46252</v>
      </c>
    </row>
    <row r="509">
      <c r="A509" s="54" t="inlineStr">
        <is>
          <t>71768171</t>
        </is>
      </c>
      <c r="B509" s="54" t="inlineStr">
        <is>
          <t>TIM</t>
        </is>
      </c>
      <c r="C509" s="54" t="inlineStr">
        <is>
          <t>15981573050</t>
        </is>
      </c>
      <c r="D509" s="54" t="inlineStr">
        <is>
          <t>510</t>
        </is>
      </c>
      <c r="E509" s="54" t="inlineStr">
        <is>
          <t>GESTAO OP PR2</t>
        </is>
      </c>
      <c r="F509" s="49" t="inlineStr">
        <is>
          <t>10214266</t>
        </is>
      </c>
      <c r="G509" s="54" t="inlineStr">
        <is>
          <t>Reginei Donizete Da Silva</t>
        </is>
      </c>
      <c r="H509" s="49" t="n"/>
      <c r="I509" s="55" t="n">
        <v>46235</v>
      </c>
      <c r="J509" s="84" t="n">
        <v>35</v>
      </c>
      <c r="K509" s="54" t="inlineStr">
        <is>
          <t>VERIFICAR</t>
        </is>
      </c>
      <c r="L509" s="58" t="n">
        <v>46252</v>
      </c>
    </row>
    <row r="510">
      <c r="A510" s="54" t="n">
        <v>212522538</v>
      </c>
      <c r="B510" s="54" t="inlineStr">
        <is>
          <t>VIVO</t>
        </is>
      </c>
      <c r="C510" s="54" t="n">
        <v>15997104322</v>
      </c>
      <c r="D510" s="54" t="n">
        <v>13</v>
      </c>
      <c r="E510" s="54" t="inlineStr">
        <is>
          <t>DIRETORIA E AUDITORIA</t>
        </is>
      </c>
      <c r="F510" s="49" t="inlineStr">
        <is>
          <t>EM ESTOQUE</t>
        </is>
      </c>
      <c r="G510" s="68" t="inlineStr">
        <is>
          <t>EM ESTOQUE</t>
        </is>
      </c>
      <c r="H510" s="49" t="n"/>
      <c r="I510" s="55" t="n">
        <v>46235</v>
      </c>
      <c r="J510" s="84" t="n">
        <v>39.59</v>
      </c>
      <c r="K510" s="54" t="inlineStr">
        <is>
          <t>ESTOQUE</t>
        </is>
      </c>
      <c r="L510" s="58" t="n">
        <v>46252</v>
      </c>
    </row>
    <row r="511">
      <c r="A511" s="54" t="n">
        <v>212522538</v>
      </c>
      <c r="B511" s="54" t="inlineStr">
        <is>
          <t>VIVO</t>
        </is>
      </c>
      <c r="C511" s="54" t="n">
        <v>15996460573</v>
      </c>
      <c r="D511" s="54" t="inlineStr">
        <is>
          <t>2143</t>
        </is>
      </c>
      <c r="E511" s="54" t="inlineStr">
        <is>
          <t>SSMA SMA</t>
        </is>
      </c>
      <c r="F511" s="49" t="inlineStr">
        <is>
          <t>010317286</t>
        </is>
      </c>
      <c r="G511" s="54" t="inlineStr">
        <is>
          <t>RAQUEL CRISTINA MENDES MARIANO</t>
        </is>
      </c>
      <c r="H511" s="49" t="inlineStr">
        <is>
          <t>43576186816</t>
        </is>
      </c>
      <c r="I511" s="55" t="n">
        <v>46235</v>
      </c>
      <c r="J511" s="84" t="n">
        <v>39.59</v>
      </c>
      <c r="K511" s="57" t="inlineStr">
        <is>
          <t>ATIVA</t>
        </is>
      </c>
      <c r="L511" s="58" t="n">
        <v>46252</v>
      </c>
    </row>
    <row r="512">
      <c r="A512" s="54" t="n">
        <v>212522538</v>
      </c>
      <c r="B512" s="54" t="inlineStr">
        <is>
          <t>VIVO</t>
        </is>
      </c>
      <c r="C512" s="54" t="n">
        <v>15996076957</v>
      </c>
      <c r="D512" s="54" t="n">
        <v>13</v>
      </c>
      <c r="E512" s="54" t="inlineStr">
        <is>
          <t>DIRETORIA E AUDITORIA</t>
        </is>
      </c>
      <c r="F512" s="49" t="inlineStr">
        <is>
          <t>EM ESTOQUE</t>
        </is>
      </c>
      <c r="G512" s="54" t="inlineStr">
        <is>
          <t>EM ESTOQUE</t>
        </is>
      </c>
      <c r="H512" s="49" t="n"/>
      <c r="I512" s="55" t="n">
        <v>46235</v>
      </c>
      <c r="J512" s="84" t="n">
        <v>39.59</v>
      </c>
      <c r="K512" s="57" t="inlineStr">
        <is>
          <t>ESTOQUE</t>
        </is>
      </c>
      <c r="L512" s="58" t="n">
        <v>46252</v>
      </c>
    </row>
    <row r="513">
      <c r="A513" s="54" t="inlineStr">
        <is>
          <t>71768171</t>
        </is>
      </c>
      <c r="B513" s="54" t="inlineStr">
        <is>
          <t>TIM</t>
        </is>
      </c>
      <c r="C513" s="49" t="inlineStr">
        <is>
          <t>15981910088</t>
        </is>
      </c>
      <c r="D513" s="54" t="inlineStr">
        <is>
          <t>2063</t>
        </is>
      </c>
      <c r="E513" s="54" t="inlineStr">
        <is>
          <t>OFICINA MEC CURIUVA</t>
        </is>
      </c>
      <c r="F513" s="49" t="inlineStr">
        <is>
          <t>701000759</t>
        </is>
      </c>
      <c r="G513" s="54" t="inlineStr">
        <is>
          <t>RENATO BATISTA ANDRADE</t>
        </is>
      </c>
      <c r="H513" s="49" t="inlineStr">
        <is>
          <t>07991076970</t>
        </is>
      </c>
      <c r="I513" s="55" t="n">
        <v>46235</v>
      </c>
      <c r="J513" s="84" t="n">
        <v>36.5</v>
      </c>
      <c r="K513" s="54" t="inlineStr">
        <is>
          <t>DESLIGADO</t>
        </is>
      </c>
      <c r="L513" s="58" t="n">
        <v>46252</v>
      </c>
    </row>
    <row r="514">
      <c r="A514" s="54" t="n">
        <v>212522538</v>
      </c>
      <c r="B514" s="54" t="inlineStr">
        <is>
          <t>VIVO</t>
        </is>
      </c>
      <c r="C514" s="54" t="n">
        <v>15998127297</v>
      </c>
      <c r="D514" s="54" t="inlineStr">
        <is>
          <t>32300</t>
        </is>
      </c>
      <c r="E514" s="54" t="inlineStr">
        <is>
          <t>GESTAO OP TRES LAGOAS</t>
        </is>
      </c>
      <c r="F514" s="49" t="inlineStr">
        <is>
          <t>210105472</t>
        </is>
      </c>
      <c r="G514" s="54" t="inlineStr">
        <is>
          <t>RAQUEL RIBEIRO GONCALVES</t>
        </is>
      </c>
      <c r="H514" s="49" t="inlineStr">
        <is>
          <t>11568009607</t>
        </is>
      </c>
      <c r="I514" s="55" t="n">
        <v>46235</v>
      </c>
      <c r="J514" s="84" t="n">
        <v>39.59</v>
      </c>
      <c r="K514" s="57" t="inlineStr">
        <is>
          <t>ATIVA</t>
        </is>
      </c>
      <c r="L514" s="58" t="n">
        <v>46252</v>
      </c>
    </row>
    <row r="515">
      <c r="A515" s="54" t="n">
        <v>212522538</v>
      </c>
      <c r="B515" s="54" t="inlineStr">
        <is>
          <t>VIVO</t>
        </is>
      </c>
      <c r="C515" s="54" t="n">
        <v>15998056879</v>
      </c>
      <c r="D515" s="54" t="n">
        <v>32201</v>
      </c>
      <c r="E515" s="54" t="inlineStr">
        <is>
          <t>SUZANO MANUTENCAO AGUA CLARA</t>
        </is>
      </c>
      <c r="F515" s="49" t="inlineStr">
        <is>
          <t>FROTA</t>
        </is>
      </c>
      <c r="G515" s="68" t="inlineStr">
        <is>
          <t>FROTA SEM ID</t>
        </is>
      </c>
      <c r="H515" s="49" t="n"/>
      <c r="I515" s="55" t="n">
        <v>46235</v>
      </c>
      <c r="J515" s="84" t="n">
        <v>39.59</v>
      </c>
      <c r="K515" s="68" t="inlineStr">
        <is>
          <t>VERIFICAR</t>
        </is>
      </c>
      <c r="L515" s="58" t="n">
        <v>46252</v>
      </c>
    </row>
    <row r="516">
      <c r="A516" s="54" t="inlineStr">
        <is>
          <t>71768171</t>
        </is>
      </c>
      <c r="B516" s="54" t="inlineStr">
        <is>
          <t>TIM</t>
        </is>
      </c>
      <c r="C516" s="54" t="inlineStr">
        <is>
          <t>15981470083</t>
        </is>
      </c>
      <c r="D516" s="54" t="inlineStr">
        <is>
          <t>51401</t>
        </is>
      </c>
      <c r="E516" s="54" t="inlineStr">
        <is>
          <t>C13 - KLABIN PR ESTEIRA</t>
        </is>
      </c>
      <c r="F516" s="49" t="inlineStr">
        <is>
          <t>701000965</t>
        </is>
      </c>
      <c r="G516" s="54" t="inlineStr">
        <is>
          <t>ROBERTO FERNANDES DE CAMPOS</t>
        </is>
      </c>
      <c r="H516" s="49" t="inlineStr">
        <is>
          <t>03991356937</t>
        </is>
      </c>
      <c r="I516" s="55" t="n">
        <v>46235</v>
      </c>
      <c r="J516" s="84" t="n">
        <v>32</v>
      </c>
      <c r="K516" s="54" t="inlineStr">
        <is>
          <t>DESLIGADO</t>
        </is>
      </c>
      <c r="L516" s="58" t="n">
        <v>46252</v>
      </c>
    </row>
    <row r="517">
      <c r="A517" s="54" t="n">
        <v>212522538</v>
      </c>
      <c r="B517" s="54" t="inlineStr">
        <is>
          <t>VIVO</t>
        </is>
      </c>
      <c r="C517" s="54" t="n">
        <v>15996800417</v>
      </c>
      <c r="D517" s="54" t="n">
        <v>42400</v>
      </c>
      <c r="E517" s="54" t="inlineStr">
        <is>
          <t>GESTAO OP SMA</t>
        </is>
      </c>
      <c r="F517" s="49" t="inlineStr">
        <is>
          <t>010322103</t>
        </is>
      </c>
      <c r="G517" s="54" t="inlineStr">
        <is>
          <t>REBECA DA SILVA AMARAL</t>
        </is>
      </c>
      <c r="H517" s="49" t="inlineStr">
        <is>
          <t>53354027843</t>
        </is>
      </c>
      <c r="I517" s="55" t="n">
        <v>46235</v>
      </c>
      <c r="J517" s="84" t="n">
        <v>39.59</v>
      </c>
      <c r="K517" s="57" t="inlineStr">
        <is>
          <t>ATIVA</t>
        </is>
      </c>
      <c r="L517" s="58" t="n">
        <v>46252</v>
      </c>
    </row>
    <row r="518">
      <c r="A518" s="54" t="n">
        <v>212522538</v>
      </c>
      <c r="B518" s="54" t="inlineStr">
        <is>
          <t>VIVO</t>
        </is>
      </c>
      <c r="C518" s="54" t="n">
        <v>15997140550</v>
      </c>
      <c r="D518" s="54" t="n">
        <v>42401</v>
      </c>
      <c r="E518" s="54" t="inlineStr">
        <is>
          <t>C02 - SUZANO SMA</t>
        </is>
      </c>
      <c r="F518" s="74" t="inlineStr">
        <is>
          <t>010213949</t>
        </is>
      </c>
      <c r="G518" s="54" t="inlineStr">
        <is>
          <t>REGINALDO DE JESUS SOARES</t>
        </is>
      </c>
      <c r="H518" s="49" t="inlineStr">
        <is>
          <t>16181895817</t>
        </is>
      </c>
      <c r="I518" s="55" t="n">
        <v>46235</v>
      </c>
      <c r="J518" s="84" t="n">
        <v>39.59</v>
      </c>
      <c r="K518" s="54" t="inlineStr">
        <is>
          <t>ATIVA</t>
        </is>
      </c>
      <c r="L518" s="58" t="n">
        <v>46252</v>
      </c>
    </row>
    <row r="519">
      <c r="A519" s="54" t="n">
        <v>212522538</v>
      </c>
      <c r="B519" s="54" t="inlineStr">
        <is>
          <t>VIVO</t>
        </is>
      </c>
      <c r="C519" s="54" t="n">
        <v>15996753364</v>
      </c>
      <c r="D519" s="54" t="inlineStr">
        <is>
          <t>11</t>
        </is>
      </c>
      <c r="E519" s="54" t="inlineStr">
        <is>
          <t>CONTROLADORIA</t>
        </is>
      </c>
      <c r="F519" s="49" t="inlineStr">
        <is>
          <t>010617702</t>
        </is>
      </c>
      <c r="G519" s="54" t="inlineStr">
        <is>
          <t>RENAN DA SILVA ANTUNES</t>
        </is>
      </c>
      <c r="H519" s="49" t="inlineStr">
        <is>
          <t>40812216857</t>
        </is>
      </c>
      <c r="I519" s="55" t="n">
        <v>46235</v>
      </c>
      <c r="J519" s="84" t="n">
        <v>39.59</v>
      </c>
      <c r="K519" s="57" t="inlineStr">
        <is>
          <t>ATIVA</t>
        </is>
      </c>
      <c r="L519" s="58" t="n">
        <v>46252</v>
      </c>
    </row>
    <row r="520">
      <c r="A520" s="54" t="n">
        <v>212522538</v>
      </c>
      <c r="B520" s="54" t="inlineStr">
        <is>
          <t>VIVO</t>
        </is>
      </c>
      <c r="C520" s="54" t="n">
        <v>15996873066</v>
      </c>
      <c r="D520" s="54" t="n">
        <v>10</v>
      </c>
      <c r="E520" s="54" t="inlineStr">
        <is>
          <t>RECURSOS HUMANOS</t>
        </is>
      </c>
      <c r="F520" s="49" t="inlineStr">
        <is>
          <t>FORA SIGO</t>
        </is>
      </c>
      <c r="G520" s="54" t="inlineStr">
        <is>
          <t>Rh Itapetininga</t>
        </is>
      </c>
      <c r="H520" s="49" t="n"/>
      <c r="I520" s="55" t="n">
        <v>46235</v>
      </c>
      <c r="J520" s="84" t="n">
        <v>39.59</v>
      </c>
      <c r="K520" s="54" t="inlineStr">
        <is>
          <t>ATIVA</t>
        </is>
      </c>
      <c r="L520" s="58" t="n">
        <v>46252</v>
      </c>
    </row>
    <row r="521">
      <c r="A521" s="54" t="inlineStr">
        <is>
          <t>71768171</t>
        </is>
      </c>
      <c r="B521" s="54" t="inlineStr">
        <is>
          <t>TIM</t>
        </is>
      </c>
      <c r="C521" s="49" t="inlineStr">
        <is>
          <t>15981860127</t>
        </is>
      </c>
      <c r="D521" s="54" t="inlineStr">
        <is>
          <t>52301</t>
        </is>
      </c>
      <c r="E521" s="54" t="inlineStr">
        <is>
          <t>C16 - KLABIN ITAPIRAPUA</t>
        </is>
      </c>
      <c r="F521" s="49" t="n"/>
      <c r="G521" s="54" t="inlineStr">
        <is>
          <t>RONE PETERSON CACERES DE ALMEIDA</t>
        </is>
      </c>
      <c r="H521" s="49" t="inlineStr">
        <is>
          <t>48594862857</t>
        </is>
      </c>
      <c r="I521" s="55" t="n">
        <v>46235</v>
      </c>
      <c r="J521" s="84" t="n">
        <v>35</v>
      </c>
      <c r="K521" s="57" t="inlineStr">
        <is>
          <t>ATIVA</t>
        </is>
      </c>
      <c r="L521" s="58" t="n">
        <v>46252</v>
      </c>
    </row>
    <row r="522">
      <c r="A522" s="54" t="n">
        <v>212522538</v>
      </c>
      <c r="B522" s="54" t="inlineStr">
        <is>
          <t>VIVO</t>
        </is>
      </c>
      <c r="C522" s="54" t="n">
        <v>15998473616</v>
      </c>
      <c r="D522" s="54" t="n">
        <v>41501</v>
      </c>
      <c r="E522" s="54" t="inlineStr">
        <is>
          <t>C03 - BRACELL ITATINGA</t>
        </is>
      </c>
      <c r="F522" s="49" t="inlineStr">
        <is>
          <t>FROTA</t>
        </is>
      </c>
      <c r="G522" s="54" t="inlineStr">
        <is>
          <t>RHF4B55</t>
        </is>
      </c>
      <c r="H522" s="49" t="n"/>
      <c r="I522" s="55" t="n">
        <v>46235</v>
      </c>
      <c r="J522" s="84" t="n">
        <v>39.59</v>
      </c>
      <c r="K522" s="57" t="inlineStr">
        <is>
          <t>ATIVA</t>
        </is>
      </c>
      <c r="L522" s="58" t="n">
        <v>46252</v>
      </c>
    </row>
    <row r="523">
      <c r="A523" s="54" t="n">
        <v>212522538</v>
      </c>
      <c r="B523" s="54" t="inlineStr">
        <is>
          <t>VIVO</t>
        </is>
      </c>
      <c r="C523" s="54" t="n">
        <v>15996138921</v>
      </c>
      <c r="D523" s="54" t="n">
        <v>32301</v>
      </c>
      <c r="E523" s="54" t="inlineStr">
        <is>
          <t>SUZANO MANUTENCAO TRES LAGOAS</t>
        </is>
      </c>
      <c r="F523" s="49" t="inlineStr">
        <is>
          <t>FROTA</t>
        </is>
      </c>
      <c r="G523" s="68" t="inlineStr">
        <is>
          <t>FROTA SEM ID</t>
        </is>
      </c>
      <c r="H523" s="49" t="n"/>
      <c r="I523" s="55" t="n">
        <v>46235</v>
      </c>
      <c r="J523" s="84" t="n">
        <v>39.59</v>
      </c>
      <c r="K523" s="68" t="inlineStr">
        <is>
          <t>VERIFICAR</t>
        </is>
      </c>
      <c r="L523" s="58" t="n">
        <v>46252</v>
      </c>
    </row>
    <row r="524">
      <c r="A524" s="54" t="n">
        <v>212522538</v>
      </c>
      <c r="B524" s="54" t="inlineStr">
        <is>
          <t>VIVO</t>
        </is>
      </c>
      <c r="C524" s="54" t="n">
        <v>15996677822</v>
      </c>
      <c r="D524" s="54" t="n">
        <v>32301</v>
      </c>
      <c r="E524" s="54" t="inlineStr">
        <is>
          <t>SUZANO MANUTENCAO TRES LAGOAS</t>
        </is>
      </c>
      <c r="F524" s="49" t="inlineStr">
        <is>
          <t>FROTA</t>
        </is>
      </c>
      <c r="G524" s="68" t="inlineStr">
        <is>
          <t>FROTA SEM ID</t>
        </is>
      </c>
      <c r="H524" s="49" t="n"/>
      <c r="I524" s="55" t="n">
        <v>46235</v>
      </c>
      <c r="J524" s="84" t="n">
        <v>39.59</v>
      </c>
      <c r="K524" s="68" t="inlineStr">
        <is>
          <t>VERIFICAR</t>
        </is>
      </c>
      <c r="L524" s="58" t="n">
        <v>46252</v>
      </c>
    </row>
    <row r="525">
      <c r="A525" s="54" t="n">
        <v>212522538</v>
      </c>
      <c r="B525" s="54" t="inlineStr">
        <is>
          <t>VIVO</t>
        </is>
      </c>
      <c r="C525" s="54" t="n">
        <v>15996442314</v>
      </c>
      <c r="D525" s="54" t="n">
        <v>420</v>
      </c>
      <c r="E525" s="54" t="inlineStr">
        <is>
          <t>GESTAO OP SP1</t>
        </is>
      </c>
      <c r="F525" s="49" t="inlineStr">
        <is>
          <t>FROTA</t>
        </is>
      </c>
      <c r="G525" s="68" t="inlineStr">
        <is>
          <t>FROTA SEM ID</t>
        </is>
      </c>
      <c r="H525" s="49" t="n"/>
      <c r="I525" s="55" t="n">
        <v>46235</v>
      </c>
      <c r="J525" s="84" t="n">
        <v>39.59</v>
      </c>
      <c r="K525" s="68" t="inlineStr">
        <is>
          <t>VERIFICAR</t>
        </is>
      </c>
      <c r="L525" s="58" t="n">
        <v>46252</v>
      </c>
    </row>
    <row r="526">
      <c r="A526" s="54" t="n">
        <v>212522538</v>
      </c>
      <c r="B526" s="54" t="inlineStr">
        <is>
          <t>VIVO</t>
        </is>
      </c>
      <c r="C526" s="54" t="n">
        <v>15996403007</v>
      </c>
      <c r="D526" s="54" t="n">
        <v>41501</v>
      </c>
      <c r="E526" s="54" t="inlineStr">
        <is>
          <t>C03 - BRACELL ITATINGA</t>
        </is>
      </c>
      <c r="F526" s="49" t="inlineStr">
        <is>
          <t>010322024</t>
        </is>
      </c>
      <c r="G526" s="54" t="inlineStr">
        <is>
          <t>RICARDO ALVES CORREIA</t>
        </is>
      </c>
      <c r="H526" s="49" t="inlineStr">
        <is>
          <t>26870875804</t>
        </is>
      </c>
      <c r="I526" s="55" t="n">
        <v>46235</v>
      </c>
      <c r="J526" s="84" t="n">
        <v>39.59</v>
      </c>
      <c r="K526" s="57" t="inlineStr">
        <is>
          <t>ATIVA</t>
        </is>
      </c>
      <c r="L526" s="58" t="n">
        <v>46252</v>
      </c>
    </row>
    <row r="527">
      <c r="A527" s="54" t="n">
        <v>212522538</v>
      </c>
      <c r="B527" s="54" t="inlineStr">
        <is>
          <t>VIVO</t>
        </is>
      </c>
      <c r="C527" s="54" t="n">
        <v>15998108741</v>
      </c>
      <c r="D527" s="54" t="n">
        <v>32301</v>
      </c>
      <c r="E527" s="54" t="inlineStr">
        <is>
          <t>SUZANO MANUTENCAO TRES LAGOAS</t>
        </is>
      </c>
      <c r="F527" s="49" t="inlineStr">
        <is>
          <t>FROTA</t>
        </is>
      </c>
      <c r="G527" s="68" t="inlineStr">
        <is>
          <t>FROTA SEM ID</t>
        </is>
      </c>
      <c r="H527" s="49" t="n"/>
      <c r="I527" s="55" t="n">
        <v>46235</v>
      </c>
      <c r="J527" s="84" t="n">
        <v>39.59</v>
      </c>
      <c r="K527" s="68" t="inlineStr">
        <is>
          <t>VERIFICAR</t>
        </is>
      </c>
      <c r="L527" s="58" t="n">
        <v>46252</v>
      </c>
    </row>
    <row r="528">
      <c r="A528" s="54" t="n">
        <v>212522538</v>
      </c>
      <c r="B528" s="54" t="inlineStr">
        <is>
          <t>VIVO</t>
        </is>
      </c>
      <c r="C528" s="54" t="n">
        <v>15998358217</v>
      </c>
      <c r="D528" s="54" t="n">
        <v>32301</v>
      </c>
      <c r="E528" s="54" t="inlineStr">
        <is>
          <t>SUZANO MANUTENCAO TRES LAGOAS</t>
        </is>
      </c>
      <c r="F528" s="49" t="inlineStr">
        <is>
          <t>FROTA</t>
        </is>
      </c>
      <c r="G528" s="68" t="inlineStr">
        <is>
          <t>FROTA SEM ID</t>
        </is>
      </c>
      <c r="H528" s="49" t="n"/>
      <c r="I528" s="55" t="n">
        <v>46235</v>
      </c>
      <c r="J528" s="84" t="n">
        <v>39.59</v>
      </c>
      <c r="K528" s="68" t="inlineStr">
        <is>
          <t>VERIFICAR</t>
        </is>
      </c>
      <c r="L528" s="58" t="n">
        <v>46252</v>
      </c>
    </row>
    <row r="529">
      <c r="A529" s="54" t="n">
        <v>212522538</v>
      </c>
      <c r="B529" s="54" t="inlineStr">
        <is>
          <t>VIVO</t>
        </is>
      </c>
      <c r="C529" s="54" t="n">
        <v>15998263895</v>
      </c>
      <c r="D529" s="54" t="n">
        <v>41300</v>
      </c>
      <c r="E529" s="54" t="inlineStr">
        <is>
          <t>GESTAO OP SUZANO LPTA</t>
        </is>
      </c>
      <c r="F529" s="49" t="inlineStr">
        <is>
          <t>010323152</t>
        </is>
      </c>
      <c r="G529" s="54" t="inlineStr">
        <is>
          <t>RICHARD RODRIGUES DA SILVA</t>
        </is>
      </c>
      <c r="H529" s="49" t="inlineStr">
        <is>
          <t>52940419876</t>
        </is>
      </c>
      <c r="I529" s="55" t="n">
        <v>46235</v>
      </c>
      <c r="J529" s="84" t="n">
        <v>39.59</v>
      </c>
      <c r="K529" s="57" t="inlineStr">
        <is>
          <t>ATIVA</t>
        </is>
      </c>
      <c r="L529" s="58" t="n">
        <v>46252</v>
      </c>
    </row>
    <row r="530">
      <c r="A530" s="54" t="n">
        <v>212522538</v>
      </c>
      <c r="B530" s="54" t="inlineStr">
        <is>
          <t>VIVO</t>
        </is>
      </c>
      <c r="C530" s="54" t="n">
        <v>15997984609</v>
      </c>
      <c r="D530" s="54" t="inlineStr">
        <is>
          <t>10</t>
        </is>
      </c>
      <c r="E530" s="54" t="inlineStr">
        <is>
          <t>RECURSOS HUMANOS</t>
        </is>
      </c>
      <c r="F530" s="49" t="inlineStr">
        <is>
          <t>210103379</t>
        </is>
      </c>
      <c r="G530" s="54" t="inlineStr">
        <is>
          <t>RODRIGO FERREIRA DE CARVALHO</t>
        </is>
      </c>
      <c r="H530" s="49" t="inlineStr">
        <is>
          <t>95069852191</t>
        </is>
      </c>
      <c r="I530" s="55" t="n">
        <v>46235</v>
      </c>
      <c r="J530" s="84" t="n">
        <v>39.59</v>
      </c>
      <c r="K530" s="57" t="inlineStr">
        <is>
          <t>ATIVA</t>
        </is>
      </c>
      <c r="L530" s="58" t="n">
        <v>46252</v>
      </c>
    </row>
    <row r="531">
      <c r="A531" s="54" t="n">
        <v>212522538</v>
      </c>
      <c r="B531" s="54" t="inlineStr">
        <is>
          <t>VIVO</t>
        </is>
      </c>
      <c r="C531" s="54" t="n">
        <v>15997609978</v>
      </c>
      <c r="D531" s="54" t="inlineStr">
        <is>
          <t>53201</t>
        </is>
      </c>
      <c r="E531" s="54" t="inlineStr">
        <is>
          <t>C08 - CMPC SAO GABRIEL MANUAL</t>
        </is>
      </c>
      <c r="F531" s="49" t="inlineStr">
        <is>
          <t>410101084</t>
        </is>
      </c>
      <c r="G531" s="54" t="inlineStr">
        <is>
          <t>RODRIGO FREITAS ROSA</t>
        </is>
      </c>
      <c r="H531" s="49" t="inlineStr">
        <is>
          <t>00161619045</t>
        </is>
      </c>
      <c r="I531" s="55" t="n">
        <v>46235</v>
      </c>
      <c r="J531" s="84" t="n">
        <v>39.59</v>
      </c>
      <c r="K531" s="57" t="inlineStr">
        <is>
          <t>ATIVA</t>
        </is>
      </c>
      <c r="L531" s="58" t="n">
        <v>46252</v>
      </c>
    </row>
    <row r="532">
      <c r="A532" s="54" t="inlineStr">
        <is>
          <t>71768171</t>
        </is>
      </c>
      <c r="B532" s="54" t="inlineStr">
        <is>
          <t>TIM</t>
        </is>
      </c>
      <c r="C532" s="54" t="inlineStr">
        <is>
          <t>15981472211</t>
        </is>
      </c>
      <c r="D532" s="54" t="inlineStr">
        <is>
          <t>51301</t>
        </is>
      </c>
      <c r="E532" s="54" t="inlineStr">
        <is>
          <t>C13 - KLABIN CURIUVA</t>
        </is>
      </c>
      <c r="F532" s="49" t="inlineStr">
        <is>
          <t>701001889</t>
        </is>
      </c>
      <c r="G532" s="54" t="inlineStr">
        <is>
          <t>Sebastiao Rosa Moureira</t>
        </is>
      </c>
      <c r="H532" s="49" t="n"/>
      <c r="I532" s="55" t="n">
        <v>46235</v>
      </c>
      <c r="J532" s="84" t="n">
        <v>32</v>
      </c>
      <c r="K532" s="54" t="inlineStr">
        <is>
          <t>VERIFICAR</t>
        </is>
      </c>
      <c r="L532" s="58" t="n">
        <v>46252</v>
      </c>
    </row>
    <row r="533">
      <c r="A533" s="54" t="n">
        <v>212522538</v>
      </c>
      <c r="B533" s="54" t="inlineStr">
        <is>
          <t>VIVO</t>
        </is>
      </c>
      <c r="C533" s="54" t="n">
        <v>15997496880</v>
      </c>
      <c r="D533" s="54" t="inlineStr">
        <is>
          <t>42301</t>
        </is>
      </c>
      <c r="E533" s="54" t="inlineStr">
        <is>
          <t>C04 - SUZANO CACAPAVA</t>
        </is>
      </c>
      <c r="F533" s="49" t="inlineStr">
        <is>
          <t>010419773</t>
        </is>
      </c>
      <c r="G533" s="54" t="inlineStr">
        <is>
          <t>RODRIGO JOSE DO PRADO</t>
        </is>
      </c>
      <c r="H533" s="49" t="inlineStr">
        <is>
          <t>37278302803</t>
        </is>
      </c>
      <c r="I533" s="55" t="n">
        <v>46235</v>
      </c>
      <c r="J533" s="84" t="n">
        <v>39.59</v>
      </c>
      <c r="K533" s="57" t="inlineStr">
        <is>
          <t>ATIVA</t>
        </is>
      </c>
      <c r="L533" s="58" t="n">
        <v>46252</v>
      </c>
    </row>
    <row r="534">
      <c r="A534" s="54" t="n">
        <v>212522538</v>
      </c>
      <c r="B534" s="54" t="inlineStr">
        <is>
          <t>VIVO</t>
        </is>
      </c>
      <c r="C534" s="54" t="n">
        <v>15997757648</v>
      </c>
      <c r="D534" s="54" t="n">
        <v>41201</v>
      </c>
      <c r="E534" s="54" t="inlineStr">
        <is>
          <t>C05 - BRACELL DUARTINA</t>
        </is>
      </c>
      <c r="F534" s="49" t="inlineStr">
        <is>
          <t>010321339</t>
        </is>
      </c>
      <c r="G534" s="54" t="inlineStr">
        <is>
          <t>RODRIGO PARPINELI CORREA</t>
        </is>
      </c>
      <c r="H534" s="49" t="inlineStr">
        <is>
          <t>41908881844</t>
        </is>
      </c>
      <c r="I534" s="55" t="n">
        <v>46235</v>
      </c>
      <c r="J534" s="84" t="n">
        <v>39.59</v>
      </c>
      <c r="K534" s="54" t="inlineStr">
        <is>
          <t>ATIVA</t>
        </is>
      </c>
      <c r="L534" s="58" t="n">
        <v>46252</v>
      </c>
    </row>
    <row r="535">
      <c r="A535" s="54" t="n">
        <v>212522538</v>
      </c>
      <c r="B535" s="54" t="inlineStr">
        <is>
          <t>VIVO</t>
        </is>
      </c>
      <c r="C535" s="54" t="n">
        <v>15996781591</v>
      </c>
      <c r="D535" s="54" t="n">
        <v>42401</v>
      </c>
      <c r="E535" s="54" t="inlineStr">
        <is>
          <t>SUZANO SMA</t>
        </is>
      </c>
      <c r="F535" s="49" t="inlineStr">
        <is>
          <t>FROTA</t>
        </is>
      </c>
      <c r="G535" s="68" t="inlineStr">
        <is>
          <t>FROTA SEM ID</t>
        </is>
      </c>
      <c r="H535" s="49" t="n"/>
      <c r="I535" s="55" t="n">
        <v>46235</v>
      </c>
      <c r="J535" s="84" t="n">
        <v>39.59</v>
      </c>
      <c r="K535" s="68" t="inlineStr">
        <is>
          <t>VERIFICAR</t>
        </is>
      </c>
      <c r="L535" s="58" t="n">
        <v>46252</v>
      </c>
    </row>
    <row r="536">
      <c r="A536" s="54" t="n">
        <v>212522538</v>
      </c>
      <c r="B536" s="54" t="inlineStr">
        <is>
          <t>VIVO</t>
        </is>
      </c>
      <c r="C536" s="54" t="n">
        <v>15998523805</v>
      </c>
      <c r="D536" s="54" t="n">
        <v>32701</v>
      </c>
      <c r="E536" s="49" t="inlineStr">
        <is>
          <t>C01 - SUZANO PLANTIO AGUA CLARA</t>
        </is>
      </c>
      <c r="F536" s="54" t="inlineStr">
        <is>
          <t>210102260</t>
        </is>
      </c>
      <c r="G536" s="54" t="inlineStr">
        <is>
          <t>RONALDO PEREIRA</t>
        </is>
      </c>
      <c r="H536" s="49" t="inlineStr">
        <is>
          <t>17150644880</t>
        </is>
      </c>
      <c r="I536" s="55" t="n">
        <v>46235</v>
      </c>
      <c r="J536" s="84" t="n">
        <v>39.59</v>
      </c>
      <c r="K536" s="57" t="inlineStr">
        <is>
          <t>ATIVA</t>
        </is>
      </c>
      <c r="L536" s="58" t="n">
        <v>46252</v>
      </c>
    </row>
    <row r="537">
      <c r="A537" s="54" t="n">
        <v>212522538</v>
      </c>
      <c r="B537" s="54" t="inlineStr">
        <is>
          <t>VIVO</t>
        </is>
      </c>
      <c r="C537" s="54" t="n">
        <v>15996499713</v>
      </c>
      <c r="D537" s="54" t="inlineStr">
        <is>
          <t>41201</t>
        </is>
      </c>
      <c r="E537" s="54" t="inlineStr">
        <is>
          <t>C05 - BRACELL DUARTINA</t>
        </is>
      </c>
      <c r="F537" s="49" t="inlineStr">
        <is>
          <t>010315294</t>
        </is>
      </c>
      <c r="G537" s="54" t="inlineStr">
        <is>
          <t>ROSA MARIA VIEIRA DA SILVA</t>
        </is>
      </c>
      <c r="H537" s="49" t="inlineStr">
        <is>
          <t>19539076870</t>
        </is>
      </c>
      <c r="I537" s="55" t="n">
        <v>46235</v>
      </c>
      <c r="J537" s="84" t="n">
        <v>39.59</v>
      </c>
      <c r="K537" s="57" t="inlineStr">
        <is>
          <t>ATIVA</t>
        </is>
      </c>
      <c r="L537" s="58" t="n">
        <v>46252</v>
      </c>
    </row>
    <row r="538">
      <c r="A538" s="54" t="n">
        <v>212522538</v>
      </c>
      <c r="B538" s="54" t="inlineStr">
        <is>
          <t>VIVO</t>
        </is>
      </c>
      <c r="C538" s="54" t="n">
        <v>15998233339</v>
      </c>
      <c r="D538" s="54" t="n">
        <v>41501</v>
      </c>
      <c r="E538" s="54" t="inlineStr">
        <is>
          <t>C03 - BRACELL ITATINGA</t>
        </is>
      </c>
      <c r="F538" s="49" t="inlineStr">
        <is>
          <t>FROTA</t>
        </is>
      </c>
      <c r="G538" s="54" t="inlineStr">
        <is>
          <t>RTZ7C27</t>
        </is>
      </c>
      <c r="H538" s="49" t="n"/>
      <c r="I538" s="55" t="n">
        <v>46235</v>
      </c>
      <c r="J538" s="84" t="n">
        <v>39.59</v>
      </c>
      <c r="K538" s="57" t="inlineStr">
        <is>
          <t>ATIVA</t>
        </is>
      </c>
      <c r="L538" s="58" t="n">
        <v>46252</v>
      </c>
    </row>
    <row r="539">
      <c r="A539" s="54" t="n">
        <v>212522538</v>
      </c>
      <c r="B539" s="54" t="inlineStr">
        <is>
          <t>VIVO</t>
        </is>
      </c>
      <c r="C539" s="54" t="n">
        <v>15996019355</v>
      </c>
      <c r="D539" s="54" t="inlineStr">
        <is>
          <t>32301</t>
        </is>
      </c>
      <c r="E539" s="54" t="inlineStr">
        <is>
          <t>C07 - SUZANO MANUTENCAO TRES LAGOAS</t>
        </is>
      </c>
      <c r="F539" s="49" t="inlineStr">
        <is>
          <t>210103670</t>
        </is>
      </c>
      <c r="G539" s="54" t="inlineStr">
        <is>
          <t>RUBISVAL DA SILVA NOGUEIRA</t>
        </is>
      </c>
      <c r="H539" s="49" t="inlineStr">
        <is>
          <t>00220350108</t>
        </is>
      </c>
      <c r="I539" s="55" t="n">
        <v>46235</v>
      </c>
      <c r="J539" s="84" t="n">
        <v>39.59</v>
      </c>
      <c r="K539" s="57" t="inlineStr">
        <is>
          <t>ATIVA</t>
        </is>
      </c>
      <c r="L539" s="58" t="n">
        <v>46252</v>
      </c>
    </row>
    <row r="540">
      <c r="A540" s="54" t="n">
        <v>212522538</v>
      </c>
      <c r="B540" s="54" t="inlineStr">
        <is>
          <t>VIVO</t>
        </is>
      </c>
      <c r="C540" s="54" t="n">
        <v>15998358051</v>
      </c>
      <c r="D540" s="54" t="n">
        <v>41201</v>
      </c>
      <c r="E540" s="54" t="inlineStr">
        <is>
          <t>BRACELL DUARTINA</t>
        </is>
      </c>
      <c r="F540" s="49" t="inlineStr">
        <is>
          <t>FROTA</t>
        </is>
      </c>
      <c r="G540" s="54" t="inlineStr">
        <is>
          <t>RVX1D75</t>
        </is>
      </c>
      <c r="H540" s="49" t="n"/>
      <c r="I540" s="55" t="n">
        <v>46235</v>
      </c>
      <c r="J540" s="84" t="n">
        <v>39.59</v>
      </c>
      <c r="K540" s="57" t="inlineStr">
        <is>
          <t>ATIVA</t>
        </is>
      </c>
      <c r="L540" s="58" t="n">
        <v>46252</v>
      </c>
    </row>
    <row r="541">
      <c r="A541" s="54" t="n">
        <v>212522538</v>
      </c>
      <c r="B541" s="54" t="inlineStr">
        <is>
          <t>VIVO</t>
        </is>
      </c>
      <c r="C541" s="54" t="n">
        <v>67998066313</v>
      </c>
      <c r="D541" s="54" t="n">
        <v>41501</v>
      </c>
      <c r="E541" s="54" t="inlineStr">
        <is>
          <t>C03 - BRACELL ITATINGA</t>
        </is>
      </c>
      <c r="F541" s="49" t="inlineStr">
        <is>
          <t>FROTA</t>
        </is>
      </c>
      <c r="G541" s="54" t="inlineStr">
        <is>
          <t>RVX2B24</t>
        </is>
      </c>
      <c r="H541" s="49" t="n"/>
      <c r="I541" s="55" t="n">
        <v>46235</v>
      </c>
      <c r="J541" s="84" t="n">
        <v>54.63</v>
      </c>
      <c r="K541" s="57" t="inlineStr">
        <is>
          <t>ATIVA</t>
        </is>
      </c>
      <c r="L541" s="58" t="n">
        <v>46252</v>
      </c>
    </row>
    <row r="542">
      <c r="A542" s="54" t="n">
        <v>212522538</v>
      </c>
      <c r="B542" s="54" t="inlineStr">
        <is>
          <t>VIVO</t>
        </is>
      </c>
      <c r="C542" s="54" t="n">
        <v>15998603320</v>
      </c>
      <c r="D542" s="54" t="inlineStr">
        <is>
          <t>32200</t>
        </is>
      </c>
      <c r="E542" s="54" t="inlineStr">
        <is>
          <t>GESTAO OP AGUA CLARA</t>
        </is>
      </c>
      <c r="F542" s="49" t="inlineStr">
        <is>
          <t>210105839</t>
        </is>
      </c>
      <c r="G542" s="54" t="inlineStr">
        <is>
          <t>SAM BENITEZ CARVALHO CABRAL VILELA</t>
        </is>
      </c>
      <c r="H542" s="49" t="inlineStr">
        <is>
          <t>07309179161</t>
        </is>
      </c>
      <c r="I542" s="55" t="n">
        <v>46235</v>
      </c>
      <c r="J542" s="84" t="n">
        <v>39.59</v>
      </c>
      <c r="K542" s="57" t="inlineStr">
        <is>
          <t>ATIVA</t>
        </is>
      </c>
      <c r="L542" s="58" t="n">
        <v>46252</v>
      </c>
    </row>
    <row r="543">
      <c r="A543" s="54" t="n">
        <v>212522538</v>
      </c>
      <c r="B543" s="54" t="inlineStr">
        <is>
          <t>VIVO</t>
        </is>
      </c>
      <c r="C543" s="54" t="n">
        <v>67998273887</v>
      </c>
      <c r="D543" s="54" t="inlineStr">
        <is>
          <t>32201</t>
        </is>
      </c>
      <c r="E543" s="54" t="inlineStr">
        <is>
          <t>C01 - SUZANO MANUTENCAO AGUA CLARA</t>
        </is>
      </c>
      <c r="F543" s="49" t="inlineStr">
        <is>
          <t>210102786</t>
        </is>
      </c>
      <c r="G543" s="54" t="inlineStr">
        <is>
          <t>SEBASTIAO DE SOUZA FERREIRA</t>
        </is>
      </c>
      <c r="H543" s="49" t="inlineStr">
        <is>
          <t>06908113140</t>
        </is>
      </c>
      <c r="I543" s="55" t="n">
        <v>46235</v>
      </c>
      <c r="J543" s="84" t="n">
        <v>39.59</v>
      </c>
      <c r="K543" s="57" t="inlineStr">
        <is>
          <t>ATIVA</t>
        </is>
      </c>
      <c r="L543" s="58" t="n">
        <v>46252</v>
      </c>
    </row>
    <row r="544">
      <c r="A544" s="54" t="n">
        <v>212522538</v>
      </c>
      <c r="B544" s="54" t="inlineStr">
        <is>
          <t>VIVO</t>
        </is>
      </c>
      <c r="C544" s="54" t="n">
        <v>67999523767</v>
      </c>
      <c r="D544" s="54" t="inlineStr">
        <is>
          <t>41601</t>
        </is>
      </c>
      <c r="E544" s="54" t="inlineStr">
        <is>
          <t>C03 - EUCATEX ITATINGA</t>
        </is>
      </c>
      <c r="F544" s="49" t="inlineStr">
        <is>
          <t>010312917</t>
        </is>
      </c>
      <c r="G544" s="54" t="inlineStr">
        <is>
          <t>SERGIO NASCIMENTO SILVA</t>
        </is>
      </c>
      <c r="H544" s="49" t="inlineStr">
        <is>
          <t>03832020519</t>
        </is>
      </c>
      <c r="I544" s="55" t="n">
        <v>46235</v>
      </c>
      <c r="J544" s="84" t="n">
        <v>54.63</v>
      </c>
      <c r="K544" s="57" t="inlineStr">
        <is>
          <t>ATIVA</t>
        </is>
      </c>
      <c r="L544" s="58" t="n">
        <v>46252</v>
      </c>
    </row>
    <row r="545">
      <c r="A545" s="54" t="n">
        <v>212522538</v>
      </c>
      <c r="B545" s="54" t="inlineStr">
        <is>
          <t>VIVO</t>
        </is>
      </c>
      <c r="C545" s="54" t="n">
        <v>15996709482</v>
      </c>
      <c r="D545" s="54" t="inlineStr">
        <is>
          <t>11</t>
        </is>
      </c>
      <c r="E545" s="54" t="inlineStr">
        <is>
          <t>CONTROLADORIA</t>
        </is>
      </c>
      <c r="F545" s="49" t="n"/>
      <c r="G545" s="54" t="inlineStr">
        <is>
          <t>Sergio Pedrozo</t>
        </is>
      </c>
      <c r="H545" s="49" t="inlineStr">
        <is>
          <t>40438794826</t>
        </is>
      </c>
      <c r="I545" s="55" t="n">
        <v>46235</v>
      </c>
      <c r="J545" s="84" t="n">
        <v>39.59</v>
      </c>
      <c r="K545" s="57" t="inlineStr">
        <is>
          <t>ATIVA</t>
        </is>
      </c>
      <c r="L545" s="58" t="n">
        <v>46252</v>
      </c>
    </row>
    <row r="546">
      <c r="A546" s="54" t="n">
        <v>212522538</v>
      </c>
      <c r="B546" s="54" t="inlineStr">
        <is>
          <t>VIVO</t>
        </is>
      </c>
      <c r="C546" s="54" t="n">
        <v>15997653109</v>
      </c>
      <c r="D546" s="54" t="n">
        <v>41501</v>
      </c>
      <c r="E546" s="54" t="inlineStr">
        <is>
          <t>C03 - BRACELL ITATINGA</t>
        </is>
      </c>
      <c r="F546" s="49" t="inlineStr">
        <is>
          <t>FROTA</t>
        </is>
      </c>
      <c r="G546" s="54" t="inlineStr">
        <is>
          <t>SFL8G78</t>
        </is>
      </c>
      <c r="H546" s="49" t="n"/>
      <c r="I546" s="55" t="n">
        <v>46235</v>
      </c>
      <c r="J546" s="84" t="n">
        <v>39.59</v>
      </c>
      <c r="K546" s="57" t="inlineStr">
        <is>
          <t>ATIVA</t>
        </is>
      </c>
      <c r="L546" s="58" t="n">
        <v>46252</v>
      </c>
    </row>
    <row r="547">
      <c r="A547" s="54" t="n">
        <v>212522538</v>
      </c>
      <c r="B547" s="54" t="inlineStr">
        <is>
          <t>VIVO</t>
        </is>
      </c>
      <c r="C547" s="54" t="n">
        <v>15996225831</v>
      </c>
      <c r="D547" s="54" t="inlineStr">
        <is>
          <t>42401</t>
        </is>
      </c>
      <c r="E547" s="54" t="inlineStr">
        <is>
          <t>C02 - SUZANO SMA</t>
        </is>
      </c>
      <c r="F547" s="49" t="inlineStr">
        <is>
          <t>010311529</t>
        </is>
      </c>
      <c r="G547" s="54" t="inlineStr">
        <is>
          <t>SIDNEI VIEIRA SOARES</t>
        </is>
      </c>
      <c r="H547" s="49" t="inlineStr">
        <is>
          <t>25152498847</t>
        </is>
      </c>
      <c r="I547" s="55" t="n">
        <v>46235</v>
      </c>
      <c r="J547" s="84" t="n">
        <v>39.59</v>
      </c>
      <c r="K547" s="57" t="inlineStr">
        <is>
          <t>ATIVA</t>
        </is>
      </c>
      <c r="L547" s="58" t="n">
        <v>46252</v>
      </c>
    </row>
    <row r="548">
      <c r="A548" s="54" t="inlineStr">
        <is>
          <t>71768171</t>
        </is>
      </c>
      <c r="B548" s="54" t="inlineStr">
        <is>
          <t>TIM</t>
        </is>
      </c>
      <c r="C548" s="49" t="inlineStr">
        <is>
          <t>15981910096</t>
        </is>
      </c>
      <c r="D548" s="54" t="inlineStr">
        <is>
          <t>10</t>
        </is>
      </c>
      <c r="E548" s="54" t="inlineStr">
        <is>
          <t>RECURSOS HUMANOS</t>
        </is>
      </c>
      <c r="F548" s="49" t="inlineStr">
        <is>
          <t>701000917</t>
        </is>
      </c>
      <c r="G548" s="54" t="inlineStr">
        <is>
          <t>TATIELE DE OLIVEIRA VICENTE</t>
        </is>
      </c>
      <c r="H548" s="49" t="inlineStr">
        <is>
          <t>11000109984</t>
        </is>
      </c>
      <c r="I548" s="55" t="n">
        <v>46235</v>
      </c>
      <c r="J548" s="84" t="n">
        <v>36.5</v>
      </c>
      <c r="K548" s="57" t="inlineStr">
        <is>
          <t>ATIVA</t>
        </is>
      </c>
      <c r="L548" s="58" t="n">
        <v>46252</v>
      </c>
    </row>
    <row r="549">
      <c r="A549" s="54" t="inlineStr">
        <is>
          <t>71768171</t>
        </is>
      </c>
      <c r="B549" s="54" t="inlineStr">
        <is>
          <t>TIM</t>
        </is>
      </c>
      <c r="C549" s="54" t="inlineStr">
        <is>
          <t>15981710657</t>
        </is>
      </c>
      <c r="D549" s="54" t="inlineStr">
        <is>
          <t>12</t>
        </is>
      </c>
      <c r="E549" s="54" t="inlineStr">
        <is>
          <t>SUPRIMENTOS E FROTAS</t>
        </is>
      </c>
      <c r="F549" s="49" t="inlineStr">
        <is>
          <t>701002450</t>
        </is>
      </c>
      <c r="G549" s="54" t="inlineStr">
        <is>
          <t>TAYNARA TAMIE AOYAGUI</t>
        </is>
      </c>
      <c r="H549" s="49" t="inlineStr">
        <is>
          <t>09509834971</t>
        </is>
      </c>
      <c r="I549" s="55" t="n">
        <v>46235</v>
      </c>
      <c r="J549" s="84" t="n">
        <v>37.59</v>
      </c>
      <c r="K549" s="57" t="inlineStr">
        <is>
          <t>ATIVA</t>
        </is>
      </c>
      <c r="L549" s="58" t="n">
        <v>46252</v>
      </c>
    </row>
    <row r="550">
      <c r="A550" s="54" t="n">
        <v>212522538</v>
      </c>
      <c r="B550" s="54" t="inlineStr">
        <is>
          <t>VIVO</t>
        </is>
      </c>
      <c r="C550" s="54" t="n">
        <v>15997023807</v>
      </c>
      <c r="D550" s="54" t="n">
        <v>42401</v>
      </c>
      <c r="E550" s="54" t="inlineStr">
        <is>
          <t>SUZANO SMA</t>
        </is>
      </c>
      <c r="F550" s="49" t="inlineStr">
        <is>
          <t>FROTA</t>
        </is>
      </c>
      <c r="G550" s="68" t="inlineStr">
        <is>
          <t>FROTA SEM ID</t>
        </is>
      </c>
      <c r="H550" s="49" t="n"/>
      <c r="I550" s="55" t="n">
        <v>46235</v>
      </c>
      <c r="J550" s="84" t="n">
        <v>39.59</v>
      </c>
      <c r="K550" s="68" t="inlineStr">
        <is>
          <t>VERIFICAR</t>
        </is>
      </c>
      <c r="L550" s="58" t="n">
        <v>46252</v>
      </c>
    </row>
    <row r="551">
      <c r="A551" s="54" t="n">
        <v>212522538</v>
      </c>
      <c r="B551" s="54" t="inlineStr">
        <is>
          <t>VIVO</t>
        </is>
      </c>
      <c r="C551" s="54" t="n">
        <v>15998349364</v>
      </c>
      <c r="D551" s="54" t="n">
        <v>42401</v>
      </c>
      <c r="E551" s="54" t="inlineStr">
        <is>
          <t>SUZANO SMA</t>
        </is>
      </c>
      <c r="F551" s="49" t="inlineStr">
        <is>
          <t>FROTA</t>
        </is>
      </c>
      <c r="G551" s="68" t="inlineStr">
        <is>
          <t>FROTA SEM ID</t>
        </is>
      </c>
      <c r="H551" s="49" t="n"/>
      <c r="I551" s="55" t="n">
        <v>46235</v>
      </c>
      <c r="J551" s="84" t="n">
        <v>39.59</v>
      </c>
      <c r="K551" s="68" t="inlineStr">
        <is>
          <t>VERIFICAR</t>
        </is>
      </c>
      <c r="L551" s="58" t="n">
        <v>46252</v>
      </c>
    </row>
    <row r="552">
      <c r="A552" s="54" t="n">
        <v>212522538</v>
      </c>
      <c r="B552" s="54" t="inlineStr">
        <is>
          <t>VIVO</t>
        </is>
      </c>
      <c r="C552" s="54" t="n">
        <v>15996409836</v>
      </c>
      <c r="D552" s="54" t="n">
        <v>2191</v>
      </c>
      <c r="E552" s="54" t="inlineStr">
        <is>
          <t>SSMA NOVA MUTUM</t>
        </is>
      </c>
      <c r="F552" s="49" t="inlineStr">
        <is>
          <t>810100026</t>
        </is>
      </c>
      <c r="G552" s="54" t="inlineStr">
        <is>
          <t>SILVINO HONORATO DA SILVA JUNIOR</t>
        </is>
      </c>
      <c r="H552" s="49" t="inlineStr">
        <is>
          <t>04440452108</t>
        </is>
      </c>
      <c r="I552" s="55" t="n">
        <v>46235</v>
      </c>
      <c r="J552" s="84" t="n">
        <v>39.59</v>
      </c>
      <c r="K552" s="57" t="inlineStr">
        <is>
          <t>ATIVA</t>
        </is>
      </c>
      <c r="L552" s="58" t="n">
        <v>46252</v>
      </c>
    </row>
    <row r="553">
      <c r="A553" s="54" t="n">
        <v>212522538</v>
      </c>
      <c r="B553" s="54" t="inlineStr">
        <is>
          <t>VIVO</t>
        </is>
      </c>
      <c r="C553" s="54" t="n">
        <v>15998446824</v>
      </c>
      <c r="D553" s="54" t="inlineStr">
        <is>
          <t>428</t>
        </is>
      </c>
      <c r="E553" s="54" t="inlineStr">
        <is>
          <t>QUALIDADE SP2</t>
        </is>
      </c>
      <c r="F553" s="49" t="inlineStr">
        <is>
          <t>010407654</t>
        </is>
      </c>
      <c r="G553" s="54" t="inlineStr">
        <is>
          <t>SILVIO APARECIDO DOS SANTOS</t>
        </is>
      </c>
      <c r="H553" s="49" t="inlineStr">
        <is>
          <t>12193486867</t>
        </is>
      </c>
      <c r="I553" s="55" t="n">
        <v>46235</v>
      </c>
      <c r="J553" s="84" t="n">
        <v>49.13</v>
      </c>
      <c r="K553" s="57" t="inlineStr">
        <is>
          <t>ATIVA</t>
        </is>
      </c>
      <c r="L553" s="58" t="n">
        <v>46252</v>
      </c>
    </row>
    <row r="554">
      <c r="A554" s="54" t="inlineStr">
        <is>
          <t>71768171</t>
        </is>
      </c>
      <c r="B554" s="54" t="inlineStr">
        <is>
          <t>TIM</t>
        </is>
      </c>
      <c r="C554" s="54" t="inlineStr">
        <is>
          <t>15981562546</t>
        </is>
      </c>
      <c r="D554" s="54" t="inlineStr">
        <is>
          <t>2160</t>
        </is>
      </c>
      <c r="E554" s="54" t="inlineStr">
        <is>
          <t>SSMA PR2</t>
        </is>
      </c>
      <c r="F554" s="49" t="inlineStr">
        <is>
          <t>701002616</t>
        </is>
      </c>
      <c r="G554" s="54" t="inlineStr">
        <is>
          <t>THALISON ENGRAF LEITE</t>
        </is>
      </c>
      <c r="H554" s="49" t="inlineStr">
        <is>
          <t>06732878905</t>
        </is>
      </c>
      <c r="I554" s="55" t="n">
        <v>46235</v>
      </c>
      <c r="J554" s="84" t="n">
        <v>35.61</v>
      </c>
      <c r="K554" s="57" t="inlineStr">
        <is>
          <t>ATIVA</t>
        </is>
      </c>
      <c r="L554" s="58" t="n">
        <v>46252</v>
      </c>
    </row>
    <row r="555">
      <c r="A555" s="54" t="n">
        <v>212522538</v>
      </c>
      <c r="B555" s="54" t="inlineStr">
        <is>
          <t>VIVO</t>
        </is>
      </c>
      <c r="C555" s="54" t="n">
        <v>67998007621</v>
      </c>
      <c r="D555" s="54" t="n">
        <v>42501</v>
      </c>
      <c r="E555" s="54" t="inlineStr">
        <is>
          <t>C02 - BRACELL CBO</t>
        </is>
      </c>
      <c r="F555" s="74" t="inlineStr">
        <is>
          <t>FROTA</t>
        </is>
      </c>
      <c r="G555" s="54" t="inlineStr">
        <is>
          <t>FROTA CBO - VERIFICAR</t>
        </is>
      </c>
      <c r="H555" s="49" t="n"/>
      <c r="I555" s="55" t="n">
        <v>46235</v>
      </c>
      <c r="J555" s="84" t="n">
        <v>39.59</v>
      </c>
      <c r="K555" s="54" t="inlineStr">
        <is>
          <t>VERIFICAR</t>
        </is>
      </c>
      <c r="L555" s="58" t="n">
        <v>46252</v>
      </c>
    </row>
    <row r="556">
      <c r="A556" s="54" t="n">
        <v>212522538</v>
      </c>
      <c r="B556" s="54" t="inlineStr">
        <is>
          <t>VIVO</t>
        </is>
      </c>
      <c r="C556" s="54" t="n">
        <v>15998056414</v>
      </c>
      <c r="D556" s="54" t="inlineStr">
        <is>
          <t>42550</t>
        </is>
      </c>
      <c r="E556" s="68" t="inlineStr">
        <is>
          <t>C02 - SUZANO CBO</t>
        </is>
      </c>
      <c r="F556" s="49" t="inlineStr">
        <is>
          <t>010304151</t>
        </is>
      </c>
      <c r="G556" s="54" t="inlineStr">
        <is>
          <t>SILVIO MIRANDA DA GUARDA</t>
        </is>
      </c>
      <c r="H556" s="49" t="inlineStr">
        <is>
          <t>34513978899</t>
        </is>
      </c>
      <c r="I556" s="55" t="n">
        <v>46235</v>
      </c>
      <c r="J556" s="84" t="n">
        <v>39.59</v>
      </c>
      <c r="K556" s="57" t="inlineStr">
        <is>
          <t>ATIVA</t>
        </is>
      </c>
      <c r="L556" s="58" t="n">
        <v>46252</v>
      </c>
    </row>
    <row r="557">
      <c r="A557" s="54" t="n">
        <v>212522538</v>
      </c>
      <c r="B557" s="54" t="inlineStr">
        <is>
          <t>VIVO</t>
        </is>
      </c>
      <c r="C557" s="54" t="n">
        <v>15996882524</v>
      </c>
      <c r="D557" s="54" t="n">
        <v>41401</v>
      </c>
      <c r="E557" s="54" t="inlineStr">
        <is>
          <t>C03 - BRACELL DOURADO</t>
        </is>
      </c>
      <c r="F557" s="49" t="inlineStr">
        <is>
          <t>010320367</t>
        </is>
      </c>
      <c r="G557" s="54" t="inlineStr">
        <is>
          <t>SUDARIO BARBOZA DE MIRANDA JUNIOR</t>
        </is>
      </c>
      <c r="H557" s="49" t="inlineStr">
        <is>
          <t>35677331848</t>
        </is>
      </c>
      <c r="I557" s="55" t="n">
        <v>46235</v>
      </c>
      <c r="J557" s="84" t="n">
        <v>39.59</v>
      </c>
      <c r="K557" s="54" t="inlineStr">
        <is>
          <t>ATIVA</t>
        </is>
      </c>
      <c r="L557" s="58" t="n">
        <v>46252</v>
      </c>
    </row>
    <row r="558">
      <c r="A558" s="54" t="n">
        <v>212522538</v>
      </c>
      <c r="B558" s="54" t="inlineStr">
        <is>
          <t>VIVO</t>
        </is>
      </c>
      <c r="C558" s="54" t="n">
        <v>15996057599</v>
      </c>
      <c r="D558" s="54" t="inlineStr">
        <is>
          <t>10</t>
        </is>
      </c>
      <c r="E558" s="54" t="inlineStr">
        <is>
          <t>RECURSOS HUMANOS</t>
        </is>
      </c>
      <c r="F558" s="49" t="inlineStr">
        <is>
          <t>010323027</t>
        </is>
      </c>
      <c r="G558" s="54" t="inlineStr">
        <is>
          <t>TAIANE DE ALMEIDA CORDEIRO</t>
        </is>
      </c>
      <c r="H558" s="49" t="inlineStr">
        <is>
          <t>47202206811</t>
        </is>
      </c>
      <c r="I558" s="55" t="n">
        <v>46235</v>
      </c>
      <c r="J558" s="84" t="n">
        <v>39.59</v>
      </c>
      <c r="K558" s="57" t="inlineStr">
        <is>
          <t>ATIVA</t>
        </is>
      </c>
      <c r="L558" s="58" t="n">
        <v>46252</v>
      </c>
    </row>
    <row r="559">
      <c r="A559" s="54" t="n">
        <v>212522538</v>
      </c>
      <c r="B559" s="54" t="inlineStr">
        <is>
          <t>VIVO</t>
        </is>
      </c>
      <c r="C559" s="54" t="n">
        <v>15997154247</v>
      </c>
      <c r="D559" s="54" t="inlineStr">
        <is>
          <t>10</t>
        </is>
      </c>
      <c r="E559" s="54" t="inlineStr">
        <is>
          <t>RECURSOS HUMANOS</t>
        </is>
      </c>
      <c r="F559" s="49" t="inlineStr">
        <is>
          <t>010323027</t>
        </is>
      </c>
      <c r="G559" s="54" t="inlineStr">
        <is>
          <t>TAIANE DE ALMEIDA CORDEIRO</t>
        </is>
      </c>
      <c r="H559" s="49" t="inlineStr">
        <is>
          <t>47202206811</t>
        </is>
      </c>
      <c r="I559" s="55" t="n">
        <v>46235</v>
      </c>
      <c r="J559" s="84" t="n">
        <v>39.59</v>
      </c>
      <c r="K559" s="57" t="inlineStr">
        <is>
          <t>ATIVA</t>
        </is>
      </c>
      <c r="L559" s="58" t="n">
        <v>46252</v>
      </c>
    </row>
    <row r="560">
      <c r="A560" s="54" t="n">
        <v>212522538</v>
      </c>
      <c r="B560" s="54" t="inlineStr">
        <is>
          <t>VIVO</t>
        </is>
      </c>
      <c r="C560" s="54" t="n">
        <v>67996855480</v>
      </c>
      <c r="D560" s="54" t="inlineStr">
        <is>
          <t>32701</t>
        </is>
      </c>
      <c r="E560" s="54" t="inlineStr">
        <is>
          <t>C01 - SUZANO PLANTIO AGUA CLARA</t>
        </is>
      </c>
      <c r="F560" s="49" t="inlineStr">
        <is>
          <t>210102819</t>
        </is>
      </c>
      <c r="G560" s="54" t="inlineStr">
        <is>
          <t>TAIRAN BELIZARIO DA SILVA</t>
        </is>
      </c>
      <c r="H560" s="49" t="inlineStr">
        <is>
          <t>04482489131</t>
        </is>
      </c>
      <c r="I560" s="55" t="n">
        <v>46235</v>
      </c>
      <c r="J560" s="84" t="n">
        <v>39.59</v>
      </c>
      <c r="K560" s="57" t="inlineStr">
        <is>
          <t>ATIVA</t>
        </is>
      </c>
      <c r="L560" s="58" t="n">
        <v>46252</v>
      </c>
    </row>
    <row r="561">
      <c r="A561" s="54" t="n">
        <v>212522538</v>
      </c>
      <c r="B561" s="54" t="inlineStr">
        <is>
          <t>VIVO</t>
        </is>
      </c>
      <c r="C561" s="54" t="n">
        <v>15996680399</v>
      </c>
      <c r="D561" s="54" t="inlineStr">
        <is>
          <t>41301</t>
        </is>
      </c>
      <c r="E561" s="54" t="inlineStr">
        <is>
          <t>C05 - SUZANO LENCOIS PAULISTA</t>
        </is>
      </c>
      <c r="F561" s="49" t="inlineStr">
        <is>
          <t>010321265</t>
        </is>
      </c>
      <c r="G561" s="54" t="inlineStr">
        <is>
          <t>TALES GABRIEL BARBOZA DE SOUZA</t>
        </is>
      </c>
      <c r="H561" s="49" t="inlineStr">
        <is>
          <t>44974358812</t>
        </is>
      </c>
      <c r="I561" s="55" t="n">
        <v>46235</v>
      </c>
      <c r="J561" s="84" t="n">
        <v>39.59</v>
      </c>
      <c r="K561" s="57" t="inlineStr">
        <is>
          <t>ATIVA</t>
        </is>
      </c>
      <c r="L561" s="58" t="n">
        <v>46252</v>
      </c>
    </row>
    <row r="562">
      <c r="A562" s="54" t="inlineStr">
        <is>
          <t>71768171</t>
        </is>
      </c>
      <c r="B562" s="54" t="inlineStr">
        <is>
          <t>TIM</t>
        </is>
      </c>
      <c r="C562" s="54" t="inlineStr">
        <is>
          <t>15981472114</t>
        </is>
      </c>
      <c r="D562" s="54" t="inlineStr">
        <is>
          <t>51301</t>
        </is>
      </c>
      <c r="E562" s="54" t="inlineStr">
        <is>
          <t>C13 - KLABIN CURIUVA</t>
        </is>
      </c>
      <c r="F562" s="49" t="inlineStr">
        <is>
          <t>701000777</t>
        </is>
      </c>
      <c r="G562" s="54" t="inlineStr">
        <is>
          <t>Tiago De Souza Da Silva</t>
        </is>
      </c>
      <c r="H562" s="49" t="n"/>
      <c r="I562" s="55" t="n">
        <v>46235</v>
      </c>
      <c r="J562" s="84" t="n">
        <v>32</v>
      </c>
      <c r="K562" s="54" t="inlineStr">
        <is>
          <t>VERIFICAR</t>
        </is>
      </c>
      <c r="L562" s="58" t="n">
        <v>46252</v>
      </c>
    </row>
    <row r="563">
      <c r="A563" s="54" t="inlineStr">
        <is>
          <t>71768171</t>
        </is>
      </c>
      <c r="B563" s="54" t="inlineStr">
        <is>
          <t>TIM</t>
        </is>
      </c>
      <c r="C563" s="54" t="inlineStr">
        <is>
          <t>15981632303</t>
        </is>
      </c>
      <c r="D563" s="54" t="inlineStr">
        <is>
          <t>51301</t>
        </is>
      </c>
      <c r="E563" s="54" t="inlineStr">
        <is>
          <t>C13 - KLABIN CURIUVA</t>
        </is>
      </c>
      <c r="F563" s="49" t="n"/>
      <c r="G563" s="54" t="inlineStr">
        <is>
          <t>Tiago De Souza Da Silva / Sidney Da Silva</t>
        </is>
      </c>
      <c r="H563" s="49" t="n"/>
      <c r="I563" s="55" t="n">
        <v>46235</v>
      </c>
      <c r="J563" s="84" t="n">
        <v>39.24</v>
      </c>
      <c r="K563" s="54" t="inlineStr">
        <is>
          <t>VERIFICAR</t>
        </is>
      </c>
      <c r="L563" s="58" t="n">
        <v>46252</v>
      </c>
    </row>
    <row r="564">
      <c r="A564" s="54" t="n">
        <v>212522538</v>
      </c>
      <c r="B564" s="54" t="inlineStr">
        <is>
          <t>VIVO</t>
        </is>
      </c>
      <c r="C564" s="54" t="n">
        <v>15998427354</v>
      </c>
      <c r="D564" s="54" t="inlineStr">
        <is>
          <t>2170</t>
        </is>
      </c>
      <c r="E564" s="54" t="inlineStr">
        <is>
          <t>SSMA RS</t>
        </is>
      </c>
      <c r="F564" s="49" t="inlineStr">
        <is>
          <t>410101546</t>
        </is>
      </c>
      <c r="G564" s="54" t="inlineStr">
        <is>
          <t>TAMIRES LOPES DA SILVA</t>
        </is>
      </c>
      <c r="H564" s="49" t="inlineStr">
        <is>
          <t>02216828050</t>
        </is>
      </c>
      <c r="I564" s="55" t="n">
        <v>46235</v>
      </c>
      <c r="J564" s="84" t="n">
        <v>39.59</v>
      </c>
      <c r="K564" s="57" t="inlineStr">
        <is>
          <t>ATIVA</t>
        </is>
      </c>
      <c r="L564" s="58" t="n">
        <v>46252</v>
      </c>
    </row>
    <row r="565">
      <c r="A565" s="54" t="inlineStr">
        <is>
          <t>71768171</t>
        </is>
      </c>
      <c r="B565" s="54" t="inlineStr">
        <is>
          <t>TIM</t>
        </is>
      </c>
      <c r="C565" s="54" t="inlineStr">
        <is>
          <t>15981471664</t>
        </is>
      </c>
      <c r="D565" s="54" t="inlineStr">
        <is>
          <t>51401</t>
        </is>
      </c>
      <c r="E565" s="54" t="inlineStr">
        <is>
          <t>C13 - KLABIN PR ESTEIRA</t>
        </is>
      </c>
      <c r="F565" s="49" t="inlineStr">
        <is>
          <t>010214501</t>
        </is>
      </c>
      <c r="G565" s="54" t="inlineStr">
        <is>
          <t>Tiago Pinheiro Garcia</t>
        </is>
      </c>
      <c r="H565" s="49" t="n"/>
      <c r="I565" s="55" t="n">
        <v>46235</v>
      </c>
      <c r="J565" s="84" t="n">
        <v>32</v>
      </c>
      <c r="K565" s="54" t="inlineStr">
        <is>
          <t>VERIFICAR</t>
        </is>
      </c>
      <c r="L565" s="58" t="n">
        <v>46252</v>
      </c>
    </row>
    <row r="566">
      <c r="A566" s="54" t="n">
        <v>212522538</v>
      </c>
      <c r="B566" s="54" t="inlineStr">
        <is>
          <t>VIVO</t>
        </is>
      </c>
      <c r="C566" s="54" t="n">
        <v>15996318797</v>
      </c>
      <c r="D566" s="54" t="inlineStr">
        <is>
          <t>42250</t>
        </is>
      </c>
      <c r="E566" s="54" t="inlineStr">
        <is>
          <t>C04 - SUZANO VIVEIRO VALE</t>
        </is>
      </c>
      <c r="F566" s="49" t="inlineStr">
        <is>
          <t>010411632</t>
        </is>
      </c>
      <c r="G566" s="54" t="inlineStr">
        <is>
          <t>TATIANE CRISTINA GOMES ALVES</t>
        </is>
      </c>
      <c r="H566" s="49" t="inlineStr">
        <is>
          <t>41463069812</t>
        </is>
      </c>
      <c r="I566" s="55" t="n">
        <v>46235</v>
      </c>
      <c r="J566" s="84" t="n">
        <v>39.59</v>
      </c>
      <c r="K566" s="57" t="inlineStr">
        <is>
          <t>ATIVA</t>
        </is>
      </c>
      <c r="L566" s="58" t="n">
        <v>46252</v>
      </c>
    </row>
    <row r="567">
      <c r="A567" s="54" t="n">
        <v>212522538</v>
      </c>
      <c r="B567" s="54" t="inlineStr">
        <is>
          <t>VIVO</t>
        </is>
      </c>
      <c r="C567" s="54" t="n">
        <v>15998410948</v>
      </c>
      <c r="D567" s="54" t="n">
        <v>42401</v>
      </c>
      <c r="E567" s="54" t="inlineStr">
        <is>
          <t>SUZANO SMA</t>
        </is>
      </c>
      <c r="F567" s="49" t="inlineStr">
        <is>
          <t>FROTA</t>
        </is>
      </c>
      <c r="G567" s="68" t="inlineStr">
        <is>
          <t>FROTA SEM ID</t>
        </is>
      </c>
      <c r="H567" s="49" t="n"/>
      <c r="I567" s="55" t="n">
        <v>46235</v>
      </c>
      <c r="J567" s="84" t="n">
        <v>39.59</v>
      </c>
      <c r="K567" s="68" t="inlineStr">
        <is>
          <t>VERIFICAR</t>
        </is>
      </c>
      <c r="L567" s="58" t="n">
        <v>46252</v>
      </c>
    </row>
    <row r="568">
      <c r="A568" s="54" t="n">
        <v>212522538</v>
      </c>
      <c r="B568" s="54" t="inlineStr">
        <is>
          <t>VIVO</t>
        </is>
      </c>
      <c r="C568" s="54" t="n">
        <v>15998457739</v>
      </c>
      <c r="D568" s="54" t="n">
        <v>42401</v>
      </c>
      <c r="E568" s="54" t="inlineStr">
        <is>
          <t>SUZANO SMA</t>
        </is>
      </c>
      <c r="F568" s="49" t="inlineStr">
        <is>
          <t>FROTA</t>
        </is>
      </c>
      <c r="G568" s="68" t="inlineStr">
        <is>
          <t>FROTA SEM ID</t>
        </is>
      </c>
      <c r="H568" s="49" t="n"/>
      <c r="I568" s="55" t="n">
        <v>46235</v>
      </c>
      <c r="J568" s="84" t="n">
        <v>39.59</v>
      </c>
      <c r="K568" s="68" t="inlineStr">
        <is>
          <t>VERIFICAR</t>
        </is>
      </c>
      <c r="L568" s="58" t="n">
        <v>46252</v>
      </c>
    </row>
    <row r="569">
      <c r="A569" s="54" t="n">
        <v>212522538</v>
      </c>
      <c r="B569" s="54" t="inlineStr">
        <is>
          <t>VIVO</t>
        </is>
      </c>
      <c r="C569" s="54" t="n">
        <v>15997078223</v>
      </c>
      <c r="D569" s="54" t="inlineStr">
        <is>
          <t>10</t>
        </is>
      </c>
      <c r="E569" s="54" t="inlineStr">
        <is>
          <t>RECURSOS HUMANOS</t>
        </is>
      </c>
      <c r="F569" s="49" t="inlineStr">
        <is>
          <t>701000917</t>
        </is>
      </c>
      <c r="G569" s="54" t="inlineStr">
        <is>
          <t>TATIELE DE OLIVEIRA VICENTE</t>
        </is>
      </c>
      <c r="H569" s="49" t="inlineStr">
        <is>
          <t>11000109984</t>
        </is>
      </c>
      <c r="I569" s="55" t="n">
        <v>46235</v>
      </c>
      <c r="J569" s="84" t="n">
        <v>39.59</v>
      </c>
      <c r="K569" s="57" t="inlineStr">
        <is>
          <t>ATIVA</t>
        </is>
      </c>
      <c r="L569" s="58" t="n">
        <v>46252</v>
      </c>
    </row>
    <row r="570">
      <c r="A570" s="54" t="n">
        <v>212522538</v>
      </c>
      <c r="B570" s="54" t="inlineStr">
        <is>
          <t>VIVO</t>
        </is>
      </c>
      <c r="C570" s="54" t="n">
        <v>15996510074</v>
      </c>
      <c r="D570" s="54" t="inlineStr">
        <is>
          <t>10</t>
        </is>
      </c>
      <c r="E570" s="54" t="inlineStr">
        <is>
          <t>RECURSOS HUMANOS</t>
        </is>
      </c>
      <c r="F570" s="49" t="inlineStr">
        <is>
          <t>701000917</t>
        </is>
      </c>
      <c r="G570" s="54" t="inlineStr">
        <is>
          <t>TATIELE DE OLIVEIRA VICENTE</t>
        </is>
      </c>
      <c r="H570" s="49" t="inlineStr">
        <is>
          <t>11000109984</t>
        </is>
      </c>
      <c r="I570" s="55" t="n">
        <v>46235</v>
      </c>
      <c r="J570" s="84" t="n">
        <v>39.59</v>
      </c>
      <c r="K570" s="57" t="inlineStr">
        <is>
          <t>ATIVA</t>
        </is>
      </c>
      <c r="L570" s="58" t="n">
        <v>46252</v>
      </c>
    </row>
    <row r="571">
      <c r="A571" s="54" t="n">
        <v>212522538</v>
      </c>
      <c r="B571" s="54" t="inlineStr">
        <is>
          <t>VIVO</t>
        </is>
      </c>
      <c r="C571" s="54" t="n">
        <v>15997044178</v>
      </c>
      <c r="D571" s="54" t="n">
        <v>41501</v>
      </c>
      <c r="E571" s="54" t="inlineStr">
        <is>
          <t>C03 - BRACELL ITATINGA</t>
        </is>
      </c>
      <c r="F571" s="49" t="inlineStr">
        <is>
          <t>FROTA</t>
        </is>
      </c>
      <c r="G571" s="49" t="inlineStr">
        <is>
          <t>TCK8I26</t>
        </is>
      </c>
      <c r="H571" s="49" t="n"/>
      <c r="I571" s="55" t="n">
        <v>46235</v>
      </c>
      <c r="J571" s="84" t="n">
        <v>39.59</v>
      </c>
      <c r="K571" s="57" t="inlineStr">
        <is>
          <t>ATIVA</t>
        </is>
      </c>
      <c r="L571" s="58" t="n">
        <v>46252</v>
      </c>
    </row>
    <row r="572">
      <c r="A572" s="54" t="n">
        <v>212522538</v>
      </c>
      <c r="B572" s="54" t="inlineStr">
        <is>
          <t>VIVO</t>
        </is>
      </c>
      <c r="C572" s="54" t="n">
        <v>15997165236</v>
      </c>
      <c r="D572" s="54" t="n">
        <v>342</v>
      </c>
      <c r="E572" s="68" t="inlineStr">
        <is>
          <t>NOVA MUTUM</t>
        </is>
      </c>
      <c r="F572" s="49" t="inlineStr">
        <is>
          <t>FROTA</t>
        </is>
      </c>
      <c r="G572" s="54" t="inlineStr">
        <is>
          <t>NOVA MUTUM</t>
        </is>
      </c>
      <c r="H572" s="49" t="n"/>
      <c r="I572" s="55" t="n">
        <v>46235</v>
      </c>
      <c r="J572" s="84" t="n">
        <v>39.59</v>
      </c>
      <c r="K572" s="54" t="inlineStr">
        <is>
          <t>VERIFICAR</t>
        </is>
      </c>
      <c r="L572" s="58" t="n">
        <v>46252</v>
      </c>
    </row>
    <row r="573">
      <c r="A573" s="54" t="n">
        <v>212522538</v>
      </c>
      <c r="B573" s="54" t="inlineStr">
        <is>
          <t>VIVO</t>
        </is>
      </c>
      <c r="C573" s="54" t="n">
        <v>15997028413</v>
      </c>
      <c r="D573" s="54" t="n">
        <v>342</v>
      </c>
      <c r="E573" s="68" t="inlineStr">
        <is>
          <t>NOVA MUTUM</t>
        </is>
      </c>
      <c r="F573" s="49" t="inlineStr">
        <is>
          <t>FROTA</t>
        </is>
      </c>
      <c r="G573" s="54" t="inlineStr">
        <is>
          <t>NOVA MUTUM</t>
        </is>
      </c>
      <c r="H573" s="49" t="n"/>
      <c r="I573" s="55" t="n">
        <v>46235</v>
      </c>
      <c r="J573" s="84" t="n">
        <v>39.59</v>
      </c>
      <c r="K573" s="54" t="inlineStr">
        <is>
          <t>VERIFICAR</t>
        </is>
      </c>
      <c r="L573" s="58" t="n">
        <v>46252</v>
      </c>
    </row>
    <row r="574">
      <c r="A574" s="54" t="n">
        <v>212522538</v>
      </c>
      <c r="B574" s="54" t="inlineStr">
        <is>
          <t>VIVO</t>
        </is>
      </c>
      <c r="C574" s="54" t="n">
        <v>15998306504</v>
      </c>
      <c r="D574" s="68" t="n">
        <v>342</v>
      </c>
      <c r="E574" s="68" t="inlineStr">
        <is>
          <t>NOVA MUTUM</t>
        </is>
      </c>
      <c r="F574" s="49" t="inlineStr">
        <is>
          <t>FROTA</t>
        </is>
      </c>
      <c r="G574" s="54" t="inlineStr">
        <is>
          <t>NOVA MUTUM</t>
        </is>
      </c>
      <c r="H574" s="49" t="n"/>
      <c r="I574" s="55" t="n">
        <v>46235</v>
      </c>
      <c r="J574" s="84" t="n">
        <v>39.59</v>
      </c>
      <c r="K574" s="68" t="inlineStr">
        <is>
          <t>VERIFICAR</t>
        </is>
      </c>
      <c r="L574" s="58" t="n">
        <v>46252</v>
      </c>
    </row>
    <row r="575">
      <c r="A575" s="54" t="n">
        <v>212522538</v>
      </c>
      <c r="B575" s="54" t="inlineStr">
        <is>
          <t>VIVO</t>
        </is>
      </c>
      <c r="C575" s="54" t="n">
        <v>15998201339</v>
      </c>
      <c r="D575" s="54" t="n">
        <v>342</v>
      </c>
      <c r="E575" s="68" t="inlineStr">
        <is>
          <t>NOVA MUTUM</t>
        </is>
      </c>
      <c r="F575" s="49" t="inlineStr">
        <is>
          <t>FROTA</t>
        </is>
      </c>
      <c r="G575" s="54" t="inlineStr">
        <is>
          <t>NOVA MUTUM</t>
        </is>
      </c>
      <c r="H575" s="49" t="n"/>
      <c r="I575" s="55" t="n">
        <v>46235</v>
      </c>
      <c r="J575" s="84" t="n">
        <v>39.59</v>
      </c>
      <c r="K575" s="68" t="inlineStr">
        <is>
          <t>VERIFICAR</t>
        </is>
      </c>
      <c r="L575" s="58" t="n">
        <v>46252</v>
      </c>
    </row>
    <row r="576">
      <c r="A576" s="54" t="n">
        <v>212522538</v>
      </c>
      <c r="B576" s="54" t="inlineStr">
        <is>
          <t>VIVO</t>
        </is>
      </c>
      <c r="C576" s="54" t="n">
        <v>15997320135</v>
      </c>
      <c r="D576" s="54" t="n">
        <v>342</v>
      </c>
      <c r="E576" s="68" t="inlineStr">
        <is>
          <t>NOVA MUTUM</t>
        </is>
      </c>
      <c r="F576" s="49" t="inlineStr">
        <is>
          <t>FROTA</t>
        </is>
      </c>
      <c r="G576" s="54" t="inlineStr">
        <is>
          <t>NOVA MUTUM</t>
        </is>
      </c>
      <c r="H576" s="49" t="n"/>
      <c r="I576" s="55" t="n">
        <v>46235</v>
      </c>
      <c r="J576" s="84" t="n">
        <v>39.59</v>
      </c>
      <c r="K576" s="68" t="inlineStr">
        <is>
          <t>VERIFICAR</t>
        </is>
      </c>
      <c r="L576" s="58" t="n">
        <v>46252</v>
      </c>
    </row>
    <row r="577">
      <c r="A577" s="54" t="n">
        <v>212522538</v>
      </c>
      <c r="B577" s="54" t="inlineStr">
        <is>
          <t>VIVO</t>
        </is>
      </c>
      <c r="C577" s="59" t="n">
        <v>15998339691</v>
      </c>
      <c r="D577" s="54" t="n">
        <v>342</v>
      </c>
      <c r="E577" s="68" t="inlineStr">
        <is>
          <t>NOVA MUTUM</t>
        </is>
      </c>
      <c r="F577" s="49" t="inlineStr">
        <is>
          <t>FROTA</t>
        </is>
      </c>
      <c r="G577" s="54" t="inlineStr">
        <is>
          <t>NOVA MUTUM</t>
        </is>
      </c>
      <c r="H577" s="49" t="n"/>
      <c r="I577" s="55" t="n">
        <v>46235</v>
      </c>
      <c r="J577" s="84" t="n">
        <v>39.59</v>
      </c>
      <c r="K577" s="68" t="inlineStr">
        <is>
          <t>VERIFICAR</t>
        </is>
      </c>
      <c r="L577" s="58" t="n">
        <v>46252</v>
      </c>
    </row>
    <row r="578">
      <c r="A578" s="54" t="n">
        <v>212522538</v>
      </c>
      <c r="B578" s="54" t="inlineStr">
        <is>
          <t>VIVO</t>
        </is>
      </c>
      <c r="C578" s="54" t="n">
        <v>15997628102</v>
      </c>
      <c r="D578" s="54" t="n">
        <v>342</v>
      </c>
      <c r="E578" s="68" t="inlineStr">
        <is>
          <t>NOVA MUTUM</t>
        </is>
      </c>
      <c r="F578" s="49" t="inlineStr">
        <is>
          <t>FROTA</t>
        </is>
      </c>
      <c r="G578" s="54" t="inlineStr">
        <is>
          <t>NOVA MUTUM</t>
        </is>
      </c>
      <c r="H578" s="49" t="n"/>
      <c r="I578" s="55" t="n">
        <v>46235</v>
      </c>
      <c r="J578" s="84" t="n">
        <v>39.59</v>
      </c>
      <c r="K578" s="68" t="inlineStr">
        <is>
          <t>VERIFICAR</t>
        </is>
      </c>
      <c r="L578" s="58" t="n">
        <v>46252</v>
      </c>
    </row>
    <row r="579">
      <c r="A579" s="54" t="n">
        <v>212522538</v>
      </c>
      <c r="B579" s="54" t="inlineStr">
        <is>
          <t>VIVO</t>
        </is>
      </c>
      <c r="C579" s="54" t="n">
        <v>67998256164</v>
      </c>
      <c r="D579" s="68" t="n">
        <v>342</v>
      </c>
      <c r="E579" s="68" t="inlineStr">
        <is>
          <t>NOVA MUTUM</t>
        </is>
      </c>
      <c r="F579" s="49" t="inlineStr">
        <is>
          <t>FROTA</t>
        </is>
      </c>
      <c r="G579" s="54" t="inlineStr">
        <is>
          <t>NOVA MUTUM</t>
        </is>
      </c>
      <c r="H579" s="49" t="n"/>
      <c r="I579" s="55" t="n">
        <v>46235</v>
      </c>
      <c r="J579" s="84" t="n">
        <v>60.04</v>
      </c>
      <c r="K579" s="68" t="inlineStr">
        <is>
          <t>VERIFICAR</t>
        </is>
      </c>
      <c r="L579" s="58" t="n">
        <v>46252</v>
      </c>
    </row>
    <row r="580">
      <c r="A580" s="54" t="n">
        <v>212522538</v>
      </c>
      <c r="B580" s="54" t="inlineStr">
        <is>
          <t>VIVO</t>
        </is>
      </c>
      <c r="C580" s="54" t="n">
        <v>15996465094</v>
      </c>
      <c r="D580" s="54" t="n">
        <v>342</v>
      </c>
      <c r="E580" s="54" t="inlineStr">
        <is>
          <t>NOVA MUTUM</t>
        </is>
      </c>
      <c r="F580" s="54" t="inlineStr">
        <is>
          <t>FROTA</t>
        </is>
      </c>
      <c r="G580" s="54" t="inlineStr">
        <is>
          <t>NOVA MUTUM</t>
        </is>
      </c>
      <c r="H580" s="49" t="n"/>
      <c r="I580" s="55" t="n">
        <v>46235</v>
      </c>
      <c r="J580" s="84" t="n">
        <v>39.59</v>
      </c>
      <c r="K580" s="68" t="inlineStr">
        <is>
          <t>VERIFICAR</t>
        </is>
      </c>
      <c r="L580" s="58" t="n">
        <v>46252</v>
      </c>
    </row>
    <row r="581">
      <c r="A581" s="54" t="n">
        <v>212522538</v>
      </c>
      <c r="B581" s="54" t="inlineStr">
        <is>
          <t>VIVO</t>
        </is>
      </c>
      <c r="C581" s="54" t="n">
        <v>15998361119</v>
      </c>
      <c r="D581" s="54" t="n">
        <v>342</v>
      </c>
      <c r="E581" s="54" t="inlineStr">
        <is>
          <t>NOVA MUTUM</t>
        </is>
      </c>
      <c r="F581" s="54" t="inlineStr">
        <is>
          <t>FROTA</t>
        </is>
      </c>
      <c r="G581" s="54" t="inlineStr">
        <is>
          <t>NOVA MUTUM</t>
        </is>
      </c>
      <c r="H581" s="49" t="n"/>
      <c r="I581" s="55" t="n">
        <v>46235</v>
      </c>
      <c r="J581" s="84" t="n">
        <v>39.59</v>
      </c>
      <c r="K581" s="68" t="inlineStr">
        <is>
          <t>VERIFICAR</t>
        </is>
      </c>
      <c r="L581" s="58" t="n">
        <v>46252</v>
      </c>
    </row>
    <row r="582">
      <c r="A582" s="54" t="n">
        <v>212522538</v>
      </c>
      <c r="B582" s="54" t="inlineStr">
        <is>
          <t>VIVO</t>
        </is>
      </c>
      <c r="C582" s="54" t="n">
        <v>15998471357</v>
      </c>
      <c r="D582" s="54" t="n">
        <v>342</v>
      </c>
      <c r="E582" s="54" t="inlineStr">
        <is>
          <t>NOVA MUTUM</t>
        </is>
      </c>
      <c r="F582" s="54" t="inlineStr">
        <is>
          <t>FROTA</t>
        </is>
      </c>
      <c r="G582" s="54" t="inlineStr">
        <is>
          <t>NOVA MUTUM</t>
        </is>
      </c>
      <c r="H582" s="49" t="n"/>
      <c r="I582" s="55" t="n">
        <v>46235</v>
      </c>
      <c r="J582" s="84" t="n">
        <v>39.59</v>
      </c>
      <c r="K582" s="68" t="inlineStr">
        <is>
          <t>VERIFICAR</t>
        </is>
      </c>
      <c r="L582" s="58" t="n">
        <v>46252</v>
      </c>
    </row>
    <row r="583">
      <c r="A583" s="54" t="n">
        <v>212522538</v>
      </c>
      <c r="B583" s="54" t="inlineStr">
        <is>
          <t>VIVO</t>
        </is>
      </c>
      <c r="C583" s="54" t="n">
        <v>15998374765</v>
      </c>
      <c r="D583" s="54" t="n">
        <v>342</v>
      </c>
      <c r="E583" s="54" t="inlineStr">
        <is>
          <t>NOVA MUTUM</t>
        </is>
      </c>
      <c r="F583" s="54" t="inlineStr">
        <is>
          <t>FROTA</t>
        </is>
      </c>
      <c r="G583" s="54" t="inlineStr">
        <is>
          <t>NOVA MUTUM</t>
        </is>
      </c>
      <c r="H583" s="49" t="n"/>
      <c r="I583" s="55" t="n">
        <v>46235</v>
      </c>
      <c r="J583" s="84" t="n">
        <v>49.13</v>
      </c>
      <c r="K583" s="68" t="inlineStr">
        <is>
          <t>VERIFICAR</t>
        </is>
      </c>
      <c r="L583" s="58" t="n">
        <v>46252</v>
      </c>
    </row>
    <row r="584">
      <c r="A584" s="54" t="n">
        <v>212522538</v>
      </c>
      <c r="B584" s="54" t="inlineStr">
        <is>
          <t>VIVO</t>
        </is>
      </c>
      <c r="C584" s="54" t="n">
        <v>15997845208</v>
      </c>
      <c r="D584" s="54" t="n">
        <v>342</v>
      </c>
      <c r="E584" s="54" t="inlineStr">
        <is>
          <t>NOVA MUTUM</t>
        </is>
      </c>
      <c r="F584" s="54" t="inlineStr">
        <is>
          <t>FROTA</t>
        </is>
      </c>
      <c r="G584" s="54" t="inlineStr">
        <is>
          <t>NOVA MUTUM</t>
        </is>
      </c>
      <c r="H584" s="49" t="n"/>
      <c r="I584" s="55" t="n">
        <v>46235</v>
      </c>
      <c r="J584" s="84" t="n">
        <v>39.59</v>
      </c>
      <c r="K584" s="68" t="inlineStr">
        <is>
          <t>VERIFICAR</t>
        </is>
      </c>
      <c r="L584" s="58" t="n">
        <v>46252</v>
      </c>
    </row>
    <row r="585">
      <c r="A585" s="54" t="n">
        <v>212522538</v>
      </c>
      <c r="B585" s="54" t="inlineStr">
        <is>
          <t>VIVO</t>
        </is>
      </c>
      <c r="C585" s="54" t="n">
        <v>15997995700</v>
      </c>
      <c r="D585" s="54" t="n">
        <v>342</v>
      </c>
      <c r="E585" s="54" t="inlineStr">
        <is>
          <t>NOVA MUTUM</t>
        </is>
      </c>
      <c r="F585" s="54" t="inlineStr">
        <is>
          <t>FROTA</t>
        </is>
      </c>
      <c r="G585" s="54" t="inlineStr">
        <is>
          <t>NOVA MUTUM</t>
        </is>
      </c>
      <c r="H585" s="49" t="n"/>
      <c r="I585" s="55" t="n">
        <v>46235</v>
      </c>
      <c r="J585" s="84" t="n">
        <v>39.59</v>
      </c>
      <c r="K585" s="68" t="inlineStr">
        <is>
          <t>VERIFICAR</t>
        </is>
      </c>
      <c r="L585" s="58" t="n">
        <v>46252</v>
      </c>
    </row>
    <row r="586">
      <c r="A586" s="54" t="n">
        <v>212522538</v>
      </c>
      <c r="B586" s="54" t="inlineStr">
        <is>
          <t>VIVO</t>
        </is>
      </c>
      <c r="C586" s="54" t="n">
        <v>15998231329</v>
      </c>
      <c r="D586" s="54" t="n">
        <v>342</v>
      </c>
      <c r="E586" s="54" t="inlineStr">
        <is>
          <t>NOVA MUTUM</t>
        </is>
      </c>
      <c r="F586" s="54" t="inlineStr">
        <is>
          <t>FROTA</t>
        </is>
      </c>
      <c r="G586" s="54" t="inlineStr">
        <is>
          <t>NOVA MUTUM</t>
        </is>
      </c>
      <c r="H586" s="49" t="n"/>
      <c r="I586" s="55" t="n">
        <v>46235</v>
      </c>
      <c r="J586" s="84" t="n">
        <v>39.59</v>
      </c>
      <c r="K586" s="68" t="inlineStr">
        <is>
          <t>VERIFICAR</t>
        </is>
      </c>
      <c r="L586" s="58" t="n">
        <v>46252</v>
      </c>
    </row>
    <row r="587">
      <c r="A587" s="54" t="n">
        <v>212522538</v>
      </c>
      <c r="B587" s="54" t="inlineStr">
        <is>
          <t>VIVO</t>
        </is>
      </c>
      <c r="C587" s="54" t="n">
        <v>15996039437</v>
      </c>
      <c r="D587" s="54" t="n">
        <v>342</v>
      </c>
      <c r="E587" s="54" t="inlineStr">
        <is>
          <t>NOVA MUTUM</t>
        </is>
      </c>
      <c r="F587" s="54" t="inlineStr">
        <is>
          <t>FROTA</t>
        </is>
      </c>
      <c r="G587" s="54" t="inlineStr">
        <is>
          <t>NOVA MUTUM</t>
        </is>
      </c>
      <c r="H587" s="49" t="n"/>
      <c r="I587" s="55" t="n">
        <v>46235</v>
      </c>
      <c r="J587" s="84" t="n">
        <v>39.59</v>
      </c>
      <c r="K587" s="68" t="inlineStr">
        <is>
          <t>VERIFICAR</t>
        </is>
      </c>
      <c r="L587" s="58" t="n">
        <v>46252</v>
      </c>
    </row>
    <row r="588">
      <c r="A588" s="54" t="n">
        <v>212522538</v>
      </c>
      <c r="B588" s="54" t="inlineStr">
        <is>
          <t>VIVO</t>
        </is>
      </c>
      <c r="C588" s="54" t="n">
        <v>15997881005</v>
      </c>
      <c r="D588" s="54" t="n">
        <v>342</v>
      </c>
      <c r="E588" s="54" t="inlineStr">
        <is>
          <t>NOVA MUTUM</t>
        </is>
      </c>
      <c r="F588" s="54" t="inlineStr">
        <is>
          <t>FROTA</t>
        </is>
      </c>
      <c r="G588" s="54" t="inlineStr">
        <is>
          <t>NOVA MUTUM</t>
        </is>
      </c>
      <c r="H588" s="49" t="n"/>
      <c r="I588" s="55" t="n">
        <v>46235</v>
      </c>
      <c r="J588" s="84" t="n">
        <v>39.59</v>
      </c>
      <c r="K588" s="68" t="inlineStr">
        <is>
          <t>VERIFICAR</t>
        </is>
      </c>
      <c r="L588" s="58" t="n">
        <v>46252</v>
      </c>
    </row>
    <row r="589">
      <c r="A589" s="54" t="n">
        <v>212522538</v>
      </c>
      <c r="B589" s="54" t="inlineStr">
        <is>
          <t>VIVO</t>
        </is>
      </c>
      <c r="C589" s="54" t="n">
        <v>15997972661</v>
      </c>
      <c r="D589" s="54" t="n">
        <v>342</v>
      </c>
      <c r="E589" s="54" t="inlineStr">
        <is>
          <t>NOVA MUTUM</t>
        </is>
      </c>
      <c r="F589" s="54" t="inlineStr">
        <is>
          <t>FROTA</t>
        </is>
      </c>
      <c r="G589" s="54" t="inlineStr">
        <is>
          <t>NOVA MUTUM</t>
        </is>
      </c>
      <c r="H589" s="49" t="n"/>
      <c r="I589" s="55" t="n">
        <v>46235</v>
      </c>
      <c r="J589" s="84" t="n">
        <v>39.59</v>
      </c>
      <c r="K589" s="54" t="inlineStr">
        <is>
          <t>VERIFICAR</t>
        </is>
      </c>
      <c r="L589" s="58" t="n">
        <v>46252</v>
      </c>
    </row>
    <row r="590">
      <c r="A590" s="54" t="n">
        <v>212522538</v>
      </c>
      <c r="B590" s="54" t="inlineStr">
        <is>
          <t>VIVO</t>
        </is>
      </c>
      <c r="C590" s="54" t="n">
        <v>15998590627</v>
      </c>
      <c r="D590" s="54" t="n">
        <v>342</v>
      </c>
      <c r="E590" s="54" t="inlineStr">
        <is>
          <t>NOVA MUTUM</t>
        </is>
      </c>
      <c r="F590" s="54" t="inlineStr">
        <is>
          <t>FROTA</t>
        </is>
      </c>
      <c r="G590" s="54" t="inlineStr">
        <is>
          <t>NOVA MUTUM</t>
        </is>
      </c>
      <c r="H590" s="49" t="n"/>
      <c r="I590" s="55" t="n">
        <v>46235</v>
      </c>
      <c r="J590" s="84" t="n">
        <v>39.59</v>
      </c>
      <c r="K590" s="54" t="inlineStr">
        <is>
          <t>VERIFICAR</t>
        </is>
      </c>
      <c r="L590" s="58" t="n">
        <v>46252</v>
      </c>
    </row>
    <row r="591">
      <c r="A591" s="54" t="n">
        <v>212522538</v>
      </c>
      <c r="B591" s="54" t="inlineStr">
        <is>
          <t>VIVO</t>
        </is>
      </c>
      <c r="C591" s="54" t="n">
        <v>15996794273</v>
      </c>
      <c r="D591" s="54" t="n">
        <v>342</v>
      </c>
      <c r="E591" s="54" t="inlineStr">
        <is>
          <t>NOVA MUTUM</t>
        </is>
      </c>
      <c r="F591" s="54" t="inlineStr">
        <is>
          <t>FROTA</t>
        </is>
      </c>
      <c r="G591" s="54" t="inlineStr">
        <is>
          <t>NOVA MUTUM</t>
        </is>
      </c>
      <c r="H591" s="49" t="n"/>
      <c r="I591" s="55" t="n">
        <v>46235</v>
      </c>
      <c r="J591" s="84" t="n">
        <v>39.59</v>
      </c>
      <c r="K591" s="54" t="inlineStr">
        <is>
          <t>VERIFICAR</t>
        </is>
      </c>
      <c r="L591" s="58" t="n">
        <v>46252</v>
      </c>
    </row>
    <row r="592">
      <c r="A592" s="54" t="n">
        <v>212522538</v>
      </c>
      <c r="B592" s="54" t="inlineStr">
        <is>
          <t>VIVO</t>
        </is>
      </c>
      <c r="C592" s="54" t="n">
        <v>15997100579</v>
      </c>
      <c r="D592" s="54" t="n">
        <v>342</v>
      </c>
      <c r="E592" s="54" t="inlineStr">
        <is>
          <t>NOVA MUTUM</t>
        </is>
      </c>
      <c r="F592" s="54" t="inlineStr">
        <is>
          <t>FROTA</t>
        </is>
      </c>
      <c r="G592" s="54" t="inlineStr">
        <is>
          <t>NOVA MUTUM</t>
        </is>
      </c>
      <c r="H592" s="49" t="n"/>
      <c r="I592" s="55" t="n">
        <v>46235</v>
      </c>
      <c r="J592" s="84" t="n">
        <v>39.59</v>
      </c>
      <c r="K592" s="54" t="inlineStr">
        <is>
          <t>VERIFICAR</t>
        </is>
      </c>
      <c r="L592" s="58" t="n">
        <v>46252</v>
      </c>
    </row>
    <row r="593">
      <c r="A593" s="54" t="n">
        <v>212522538</v>
      </c>
      <c r="B593" s="54" t="inlineStr">
        <is>
          <t>VIVO</t>
        </is>
      </c>
      <c r="C593" s="54" t="n">
        <v>15998415981</v>
      </c>
      <c r="D593" s="54" t="n">
        <v>342</v>
      </c>
      <c r="E593" s="54" t="inlineStr">
        <is>
          <t>NOVA MUTUM</t>
        </is>
      </c>
      <c r="F593" s="54" t="inlineStr">
        <is>
          <t>FROTA</t>
        </is>
      </c>
      <c r="G593" s="54" t="inlineStr">
        <is>
          <t>NOVA MUTUM</t>
        </is>
      </c>
      <c r="H593" s="49" t="n"/>
      <c r="I593" s="55" t="n">
        <v>46235</v>
      </c>
      <c r="J593" s="84" t="n">
        <v>39.59</v>
      </c>
      <c r="K593" s="54" t="inlineStr">
        <is>
          <t>VERIFICAR</t>
        </is>
      </c>
      <c r="L593" s="58" t="n">
        <v>46252</v>
      </c>
    </row>
    <row r="594">
      <c r="A594" s="54" t="n">
        <v>212522538</v>
      </c>
      <c r="B594" s="54" t="inlineStr">
        <is>
          <t>VIVO</t>
        </is>
      </c>
      <c r="C594" s="54" t="n">
        <v>15997632397</v>
      </c>
      <c r="D594" s="54" t="n">
        <v>41201</v>
      </c>
      <c r="E594" s="54" t="inlineStr">
        <is>
          <t>BRACELL DUARTINA</t>
        </is>
      </c>
      <c r="F594" s="49" t="inlineStr">
        <is>
          <t>FROTA</t>
        </is>
      </c>
      <c r="G594" s="54" t="inlineStr">
        <is>
          <t>TCX7A69</t>
        </is>
      </c>
      <c r="H594" s="49" t="n"/>
      <c r="I594" s="55" t="n">
        <v>46235</v>
      </c>
      <c r="J594" s="84" t="n">
        <v>39.59</v>
      </c>
      <c r="K594" s="57" t="inlineStr">
        <is>
          <t>ATIVA</t>
        </is>
      </c>
      <c r="L594" s="58" t="n">
        <v>46252</v>
      </c>
    </row>
    <row r="595">
      <c r="A595" s="54" t="n">
        <v>212522538</v>
      </c>
      <c r="B595" s="54" t="inlineStr">
        <is>
          <t>VIVO</t>
        </is>
      </c>
      <c r="C595" s="54" t="n">
        <v>15996648845</v>
      </c>
      <c r="D595" s="54" t="inlineStr">
        <is>
          <t>14</t>
        </is>
      </c>
      <c r="E595" s="54" t="inlineStr">
        <is>
          <t>FINANCAS, PROCESSOS E FACILITIES</t>
        </is>
      </c>
      <c r="F595" s="49" t="inlineStr">
        <is>
          <t>010622044</t>
        </is>
      </c>
      <c r="G595" s="54" t="inlineStr">
        <is>
          <t>TELMA JAQUELINE DOS SANTOS</t>
        </is>
      </c>
      <c r="H595" s="49" t="inlineStr">
        <is>
          <t>34369286824</t>
        </is>
      </c>
      <c r="I595" s="55" t="n">
        <v>46235</v>
      </c>
      <c r="J595" s="84" t="n">
        <v>39.59</v>
      </c>
      <c r="K595" s="57" t="inlineStr">
        <is>
          <t>ATIVA</t>
        </is>
      </c>
      <c r="L595" s="58" t="n">
        <v>46252</v>
      </c>
    </row>
    <row r="596">
      <c r="A596" s="54" t="n">
        <v>212522538</v>
      </c>
      <c r="B596" s="54" t="inlineStr">
        <is>
          <t>VIVO</t>
        </is>
      </c>
      <c r="C596" s="63" t="n">
        <v>15991688264</v>
      </c>
      <c r="D596" s="63" t="inlineStr">
        <is>
          <t>91006</t>
        </is>
      </c>
      <c r="E596" s="63" t="inlineStr">
        <is>
          <t>DIRETORIA EXECUTIVA</t>
        </is>
      </c>
      <c r="F596" s="64" t="inlineStr">
        <is>
          <t>FAMILIA</t>
        </is>
      </c>
      <c r="G596" s="65" t="inlineStr">
        <is>
          <t>Thais Murat Nalesso De Almeida</t>
        </is>
      </c>
      <c r="H596" s="49" t="inlineStr">
        <is>
          <t>38297810836</t>
        </is>
      </c>
      <c r="I596" s="55" t="n">
        <v>46235</v>
      </c>
      <c r="J596" s="84" t="n">
        <v>149.98</v>
      </c>
      <c r="K596" s="57" t="inlineStr">
        <is>
          <t>ATIVA</t>
        </is>
      </c>
      <c r="L596" s="58" t="n">
        <v>46252</v>
      </c>
    </row>
    <row r="597">
      <c r="A597" s="54" t="n">
        <v>212522538</v>
      </c>
      <c r="B597" s="54" t="inlineStr">
        <is>
          <t>VIVO</t>
        </is>
      </c>
      <c r="C597" s="54" t="n">
        <v>15996420435</v>
      </c>
      <c r="D597" s="54" t="inlineStr">
        <is>
          <t>12</t>
        </is>
      </c>
      <c r="E597" s="54" t="inlineStr">
        <is>
          <t>C03 - BRACELL DOURADO</t>
        </is>
      </c>
      <c r="F597" s="49" t="inlineStr">
        <is>
          <t>010320407</t>
        </is>
      </c>
      <c r="G597" s="54" t="inlineStr">
        <is>
          <t>THIAGO FERNANDO DE ABREU</t>
        </is>
      </c>
      <c r="H597" s="49" t="inlineStr">
        <is>
          <t>22469204852</t>
        </is>
      </c>
      <c r="I597" s="55" t="n">
        <v>46235</v>
      </c>
      <c r="J597" s="84" t="n">
        <v>39.59</v>
      </c>
      <c r="K597" s="57" t="inlineStr">
        <is>
          <t>ATIVA</t>
        </is>
      </c>
      <c r="L597" s="58" t="n">
        <v>46252</v>
      </c>
    </row>
    <row r="598">
      <c r="A598" s="86" t="n">
        <v>212522538</v>
      </c>
      <c r="B598" s="54" t="inlineStr">
        <is>
          <t>VIVO</t>
        </is>
      </c>
      <c r="C598" s="54" t="n">
        <v>15998198875</v>
      </c>
      <c r="D598" s="54" t="inlineStr">
        <is>
          <t>11</t>
        </is>
      </c>
      <c r="E598" s="54" t="inlineStr">
        <is>
          <t>CONTROLADORIA</t>
        </is>
      </c>
      <c r="F598" s="49" t="inlineStr">
        <is>
          <t>010615898</t>
        </is>
      </c>
      <c r="G598" s="54" t="inlineStr">
        <is>
          <t>THIAGO TOSHIO FURUKAWA</t>
        </is>
      </c>
      <c r="H598" s="49" t="inlineStr">
        <is>
          <t>23606373805</t>
        </is>
      </c>
      <c r="I598" s="55" t="n">
        <v>46235</v>
      </c>
      <c r="J598" s="84" t="n">
        <v>39.59</v>
      </c>
      <c r="K598" s="87" t="inlineStr">
        <is>
          <t>ATIVA</t>
        </is>
      </c>
      <c r="L598" s="58" t="n">
        <v>46252</v>
      </c>
    </row>
    <row r="599">
      <c r="A599" s="54" t="n">
        <v>212522538</v>
      </c>
      <c r="B599" s="54" t="inlineStr">
        <is>
          <t>VIVO</t>
        </is>
      </c>
      <c r="C599" s="54" t="n">
        <v>15997054998</v>
      </c>
      <c r="D599" s="54" t="inlineStr">
        <is>
          <t>11</t>
        </is>
      </c>
      <c r="E599" s="54" t="inlineStr">
        <is>
          <t>CONTROLADORIA</t>
        </is>
      </c>
      <c r="F599" s="49" t="inlineStr">
        <is>
          <t>FORA SIGO</t>
        </is>
      </c>
      <c r="G599" s="54" t="inlineStr">
        <is>
          <t>TI INFRA</t>
        </is>
      </c>
      <c r="H599" s="49" t="n"/>
      <c r="I599" s="55" t="n">
        <v>46235</v>
      </c>
      <c r="J599" s="84" t="n">
        <v>39.59</v>
      </c>
      <c r="K599" s="54" t="inlineStr">
        <is>
          <t>ATIVA</t>
        </is>
      </c>
      <c r="L599" s="58" t="n">
        <v>46252</v>
      </c>
    </row>
    <row r="600">
      <c r="A600" s="54" t="n">
        <v>212522538</v>
      </c>
      <c r="B600" s="54" t="inlineStr">
        <is>
          <t>VIVO</t>
        </is>
      </c>
      <c r="C600" s="54" t="n">
        <v>15997865812</v>
      </c>
      <c r="D600" s="54" t="n">
        <v>11</v>
      </c>
      <c r="E600" s="54" t="inlineStr">
        <is>
          <t>CONTROLADORIA</t>
        </is>
      </c>
      <c r="F600" s="49" t="inlineStr">
        <is>
          <t>FORA SIGO</t>
        </is>
      </c>
      <c r="G600" s="49" t="inlineStr">
        <is>
          <t>TI PROTHEUS</t>
        </is>
      </c>
      <c r="H600" s="49" t="n"/>
      <c r="I600" s="55" t="n">
        <v>46235</v>
      </c>
      <c r="J600" s="84" t="n">
        <v>39.59</v>
      </c>
      <c r="K600" s="54" t="inlineStr">
        <is>
          <t>ATIVA</t>
        </is>
      </c>
      <c r="L600" s="58" t="n">
        <v>46252</v>
      </c>
    </row>
    <row r="601">
      <c r="A601" s="54" t="n">
        <v>212522538</v>
      </c>
      <c r="B601" s="54" t="inlineStr">
        <is>
          <t>VIVO</t>
        </is>
      </c>
      <c r="C601" s="54" t="n">
        <v>15997297448</v>
      </c>
      <c r="D601" s="54" t="n">
        <v>11</v>
      </c>
      <c r="E601" s="54" t="inlineStr">
        <is>
          <t>CONTROLADORIA</t>
        </is>
      </c>
      <c r="F601" s="49" t="inlineStr">
        <is>
          <t>FORA SIGO</t>
        </is>
      </c>
      <c r="G601" s="54" t="inlineStr">
        <is>
          <t>TI SUPORTE</t>
        </is>
      </c>
      <c r="H601" s="49" t="n"/>
      <c r="I601" s="55" t="n">
        <v>46235</v>
      </c>
      <c r="J601" s="84" t="n">
        <v>39.59</v>
      </c>
      <c r="K601" s="54" t="inlineStr">
        <is>
          <t>ATIVA</t>
        </is>
      </c>
      <c r="L601" s="58" t="n">
        <v>46252</v>
      </c>
    </row>
    <row r="602">
      <c r="A602" s="54" t="n">
        <v>212522538</v>
      </c>
      <c r="B602" s="54" t="inlineStr">
        <is>
          <t>VIVO</t>
        </is>
      </c>
      <c r="C602" s="54" t="n">
        <v>15996661866</v>
      </c>
      <c r="D602" s="54" t="inlineStr">
        <is>
          <t>41500</t>
        </is>
      </c>
      <c r="E602" s="54" t="inlineStr">
        <is>
          <t>GESTAO OP BRACELL ITATINGA</t>
        </is>
      </c>
      <c r="F602" s="49" t="inlineStr">
        <is>
          <t>010313971</t>
        </is>
      </c>
      <c r="G602" s="54" t="inlineStr">
        <is>
          <t>TIAGO DE SOUZA BARBOSA</t>
        </is>
      </c>
      <c r="H602" s="49" t="inlineStr">
        <is>
          <t>48122251838</t>
        </is>
      </c>
      <c r="I602" s="55" t="n">
        <v>46235</v>
      </c>
      <c r="J602" s="84" t="n">
        <v>39.59</v>
      </c>
      <c r="K602" s="57" t="inlineStr">
        <is>
          <t>ATIVA</t>
        </is>
      </c>
      <c r="L602" s="58" t="n">
        <v>46252</v>
      </c>
    </row>
    <row r="603">
      <c r="A603" s="54" t="n">
        <v>212522538</v>
      </c>
      <c r="B603" s="54" t="inlineStr">
        <is>
          <t>VIVO</t>
        </is>
      </c>
      <c r="C603" s="54" t="n">
        <v>15997383982</v>
      </c>
      <c r="D603" s="54" t="n">
        <v>2001</v>
      </c>
      <c r="E603" s="54" t="inlineStr">
        <is>
          <t>OFICINA MATRIZ</t>
        </is>
      </c>
      <c r="F603" s="49" t="inlineStr">
        <is>
          <t>010722054</t>
        </is>
      </c>
      <c r="G603" s="54" t="inlineStr">
        <is>
          <t>TIAGO GONCALVES</t>
        </is>
      </c>
      <c r="H603" s="49" t="inlineStr">
        <is>
          <t>80225934272</t>
        </is>
      </c>
      <c r="I603" s="55" t="n">
        <v>46235</v>
      </c>
      <c r="J603" s="84" t="n">
        <v>39.59</v>
      </c>
      <c r="K603" s="57" t="inlineStr">
        <is>
          <t>ATIVA</t>
        </is>
      </c>
      <c r="L603" s="58" t="n">
        <v>46252</v>
      </c>
    </row>
    <row r="604">
      <c r="A604" s="54" t="n">
        <v>212522538</v>
      </c>
      <c r="B604" s="54" t="inlineStr">
        <is>
          <t>VIVO</t>
        </is>
      </c>
      <c r="C604" s="54" t="n">
        <v>51997789781</v>
      </c>
      <c r="D604" s="54" t="inlineStr">
        <is>
          <t>53290</t>
        </is>
      </c>
      <c r="E604" s="54" t="inlineStr">
        <is>
          <t>C08 - CMPC SAO GABRIEL MECANIZADO</t>
        </is>
      </c>
      <c r="F604" s="49" t="inlineStr">
        <is>
          <t>410100204</t>
        </is>
      </c>
      <c r="G604" s="54" t="inlineStr">
        <is>
          <t>TIAGO PROENCA DA SILVA</t>
        </is>
      </c>
      <c r="H604" s="49" t="inlineStr">
        <is>
          <t>01545300003</t>
        </is>
      </c>
      <c r="I604" s="55" t="n">
        <v>46235</v>
      </c>
      <c r="J604" s="84" t="n">
        <v>39.59</v>
      </c>
      <c r="K604" s="57" t="inlineStr">
        <is>
          <t>ATIVA</t>
        </is>
      </c>
      <c r="L604" s="58" t="n">
        <v>46252</v>
      </c>
    </row>
    <row r="605">
      <c r="A605" s="54" t="n">
        <v>212522538</v>
      </c>
      <c r="B605" s="54" t="inlineStr">
        <is>
          <t>VIVO</t>
        </is>
      </c>
      <c r="C605" s="54" t="n">
        <v>15996579385</v>
      </c>
      <c r="D605" s="54" t="n">
        <v>32301</v>
      </c>
      <c r="E605" s="54" t="inlineStr">
        <is>
          <t>C07 - SUZANO MANUTENCAO TRES LAGOAS</t>
        </is>
      </c>
      <c r="F605" s="49" t="inlineStr">
        <is>
          <t>210106386</t>
        </is>
      </c>
      <c r="G605" s="54" t="inlineStr">
        <is>
          <t>TIAGO RIBEIRO DOS SANTOS</t>
        </is>
      </c>
      <c r="H605" s="49" t="inlineStr">
        <is>
          <t>05234916200</t>
        </is>
      </c>
      <c r="I605" s="55" t="n">
        <v>46235</v>
      </c>
      <c r="J605" s="84" t="n">
        <v>39.59</v>
      </c>
      <c r="K605" s="57" t="inlineStr">
        <is>
          <t>ATIVA</t>
        </is>
      </c>
      <c r="L605" s="58" t="n">
        <v>46252</v>
      </c>
    </row>
    <row r="606">
      <c r="A606" s="54" t="n">
        <v>212522538</v>
      </c>
      <c r="B606" s="54" t="inlineStr">
        <is>
          <t>VIVO</t>
        </is>
      </c>
      <c r="C606" s="54" t="n">
        <v>67998500466</v>
      </c>
      <c r="D606" s="54" t="n">
        <v>41501</v>
      </c>
      <c r="E606" s="54" t="inlineStr">
        <is>
          <t>C03 - BRACELL ITATINGA</t>
        </is>
      </c>
      <c r="F606" s="49" t="inlineStr">
        <is>
          <t>FROTA</t>
        </is>
      </c>
      <c r="G606" s="54" t="inlineStr">
        <is>
          <t>TLG7I14</t>
        </is>
      </c>
      <c r="H606" s="49" t="n"/>
      <c r="I606" s="55" t="n">
        <v>46235</v>
      </c>
      <c r="J606" s="84" t="n">
        <v>39.59</v>
      </c>
      <c r="K606" s="57" t="inlineStr">
        <is>
          <t>ATIVA</t>
        </is>
      </c>
      <c r="L606" s="58" t="n">
        <v>46252</v>
      </c>
    </row>
    <row r="607">
      <c r="A607" s="54" t="n">
        <v>212522538</v>
      </c>
      <c r="B607" s="54" t="inlineStr">
        <is>
          <t>VIVO</t>
        </is>
      </c>
      <c r="C607" s="54" t="n">
        <v>15996347693</v>
      </c>
      <c r="D607" s="54" t="n">
        <v>41201</v>
      </c>
      <c r="E607" s="54" t="inlineStr">
        <is>
          <t>BRACELL DUARTINA</t>
        </is>
      </c>
      <c r="F607" s="49" t="inlineStr">
        <is>
          <t>FROTA</t>
        </is>
      </c>
      <c r="G607" s="54" t="inlineStr">
        <is>
          <t>TLR7J03</t>
        </is>
      </c>
      <c r="H607" s="49" t="n"/>
      <c r="I607" s="55" t="n">
        <v>46235</v>
      </c>
      <c r="J607" s="84" t="n">
        <v>39.59</v>
      </c>
      <c r="K607" s="57" t="inlineStr">
        <is>
          <t>ATIVA</t>
        </is>
      </c>
      <c r="L607" s="58" t="n">
        <v>46252</v>
      </c>
    </row>
    <row r="608">
      <c r="A608" s="54" t="n">
        <v>212522538</v>
      </c>
      <c r="B608" s="54" t="inlineStr">
        <is>
          <t>VIVO</t>
        </is>
      </c>
      <c r="C608" s="54" t="n">
        <v>15997646573</v>
      </c>
      <c r="D608" s="54" t="n">
        <v>42550</v>
      </c>
      <c r="E608" s="68" t="inlineStr">
        <is>
          <t>C02 - SUZANO CBO</t>
        </is>
      </c>
      <c r="F608" s="49" t="inlineStr">
        <is>
          <t>FROTA</t>
        </is>
      </c>
      <c r="G608" s="54" t="inlineStr">
        <is>
          <t>TRA0193</t>
        </is>
      </c>
      <c r="H608" s="49" t="n"/>
      <c r="I608" s="55" t="n">
        <v>46235</v>
      </c>
      <c r="J608" s="84" t="n">
        <v>39.59</v>
      </c>
      <c r="K608" s="57" t="inlineStr">
        <is>
          <t>ATIVA</t>
        </is>
      </c>
      <c r="L608" s="58" t="n">
        <v>46252</v>
      </c>
    </row>
    <row r="609">
      <c r="A609" s="54" t="n">
        <v>212522538</v>
      </c>
      <c r="B609" s="54" t="inlineStr">
        <is>
          <t>VIVO</t>
        </is>
      </c>
      <c r="C609" s="54" t="n">
        <v>15996661991</v>
      </c>
      <c r="D609" s="54" t="n">
        <v>41201</v>
      </c>
      <c r="E609" s="54" t="inlineStr">
        <is>
          <t>BRACELL DUARTINA</t>
        </is>
      </c>
      <c r="F609" s="49" t="inlineStr">
        <is>
          <t>FROTA</t>
        </is>
      </c>
      <c r="G609" s="54" t="inlineStr">
        <is>
          <t>TRA0242</t>
        </is>
      </c>
      <c r="H609" s="49" t="n"/>
      <c r="I609" s="55" t="n">
        <v>46235</v>
      </c>
      <c r="J609" s="84" t="n">
        <v>39.59</v>
      </c>
      <c r="K609" s="57" t="inlineStr">
        <is>
          <t>ATIVA</t>
        </is>
      </c>
      <c r="L609" s="58" t="n">
        <v>46252</v>
      </c>
    </row>
    <row r="610">
      <c r="A610" s="54" t="n">
        <v>212522538</v>
      </c>
      <c r="B610" s="54" t="inlineStr">
        <is>
          <t>VIVO</t>
        </is>
      </c>
      <c r="C610" s="54" t="n">
        <v>15996236836</v>
      </c>
      <c r="D610" s="54" t="n">
        <v>41301</v>
      </c>
      <c r="E610" s="54" t="inlineStr">
        <is>
          <t>SUZANO LENCOIS PAULISTA</t>
        </is>
      </c>
      <c r="F610" s="49" t="inlineStr">
        <is>
          <t>FROTA</t>
        </is>
      </c>
      <c r="G610" s="54" t="inlineStr">
        <is>
          <t>TRA0297</t>
        </is>
      </c>
      <c r="H610" s="49" t="n"/>
      <c r="I610" s="55" t="n">
        <v>46235</v>
      </c>
      <c r="J610" s="84" t="n">
        <v>39.59</v>
      </c>
      <c r="K610" s="57" t="inlineStr">
        <is>
          <t>ATIVA</t>
        </is>
      </c>
      <c r="L610" s="58" t="n">
        <v>46252</v>
      </c>
    </row>
    <row r="611">
      <c r="A611" s="54" t="n">
        <v>212522538</v>
      </c>
      <c r="B611" s="54" t="inlineStr">
        <is>
          <t>VIVO</t>
        </is>
      </c>
      <c r="C611" s="54" t="n">
        <v>15998322041</v>
      </c>
      <c r="D611" s="54" t="n">
        <v>41201</v>
      </c>
      <c r="E611" s="54" t="inlineStr">
        <is>
          <t>BRACELL DUARTINA</t>
        </is>
      </c>
      <c r="F611" s="49" t="inlineStr">
        <is>
          <t>FROTA</t>
        </is>
      </c>
      <c r="G611" s="54" t="inlineStr">
        <is>
          <t>TRA0304</t>
        </is>
      </c>
      <c r="H611" s="49" t="n"/>
      <c r="I611" s="55" t="n">
        <v>46235</v>
      </c>
      <c r="J611" s="84" t="n">
        <v>39.59</v>
      </c>
      <c r="K611" s="57" t="inlineStr">
        <is>
          <t>ATIVA</t>
        </is>
      </c>
      <c r="L611" s="58" t="n">
        <v>46252</v>
      </c>
    </row>
    <row r="612">
      <c r="A612" s="54" t="n">
        <v>212522538</v>
      </c>
      <c r="B612" s="54" t="inlineStr">
        <is>
          <t>VIVO</t>
        </is>
      </c>
      <c r="C612" s="54" t="n">
        <v>15998195357</v>
      </c>
      <c r="D612" s="54" t="n">
        <v>41201</v>
      </c>
      <c r="E612" s="54" t="inlineStr">
        <is>
          <t>BRACELL DUARTINA</t>
        </is>
      </c>
      <c r="F612" s="49" t="inlineStr">
        <is>
          <t>FROTA</t>
        </is>
      </c>
      <c r="G612" s="54" t="inlineStr">
        <is>
          <t>TRA0319</t>
        </is>
      </c>
      <c r="H612" s="49" t="n"/>
      <c r="I612" s="55" t="n">
        <v>46235</v>
      </c>
      <c r="J612" s="84" t="n">
        <v>39.59</v>
      </c>
      <c r="K612" s="57" t="inlineStr">
        <is>
          <t>ATIVA</t>
        </is>
      </c>
      <c r="L612" s="58" t="n">
        <v>46252</v>
      </c>
    </row>
    <row r="613">
      <c r="A613" s="54" t="n">
        <v>212522538</v>
      </c>
      <c r="B613" s="54" t="inlineStr">
        <is>
          <t>VIVO</t>
        </is>
      </c>
      <c r="C613" s="54" t="n">
        <v>15996930092</v>
      </c>
      <c r="D613" s="54" t="n">
        <v>41201</v>
      </c>
      <c r="E613" s="54" t="inlineStr">
        <is>
          <t>BRACELL DUARTINA</t>
        </is>
      </c>
      <c r="F613" s="49" t="inlineStr">
        <is>
          <t>FROTA</t>
        </is>
      </c>
      <c r="G613" s="54" t="inlineStr">
        <is>
          <t>TRA0320</t>
        </is>
      </c>
      <c r="H613" s="49" t="n"/>
      <c r="I613" s="55" t="n">
        <v>46235</v>
      </c>
      <c r="J613" s="84" t="n">
        <v>39.59</v>
      </c>
      <c r="K613" s="57" t="inlineStr">
        <is>
          <t>ATIVA</t>
        </is>
      </c>
      <c r="L613" s="58" t="n">
        <v>46252</v>
      </c>
    </row>
    <row r="614">
      <c r="A614" s="54" t="n">
        <v>212522538</v>
      </c>
      <c r="B614" s="54" t="inlineStr">
        <is>
          <t>VIVO</t>
        </is>
      </c>
      <c r="C614" s="54" t="n">
        <v>67999173282</v>
      </c>
      <c r="D614" s="54" t="n">
        <v>41301</v>
      </c>
      <c r="E614" s="54" t="inlineStr">
        <is>
          <t>SUZANO LENCOIS PAULISTA</t>
        </is>
      </c>
      <c r="F614" s="49" t="inlineStr">
        <is>
          <t>FROTA</t>
        </is>
      </c>
      <c r="G614" s="54" t="inlineStr">
        <is>
          <t>TRA0321</t>
        </is>
      </c>
      <c r="H614" s="49" t="n"/>
      <c r="I614" s="55" t="n">
        <v>46235</v>
      </c>
      <c r="J614" s="84" t="n">
        <v>54.63</v>
      </c>
      <c r="K614" s="57" t="inlineStr">
        <is>
          <t>ATIVA</t>
        </is>
      </c>
      <c r="L614" s="58" t="n">
        <v>46252</v>
      </c>
    </row>
    <row r="615">
      <c r="A615" s="54" t="n">
        <v>212522538</v>
      </c>
      <c r="B615" s="54" t="inlineStr">
        <is>
          <t>VIVO</t>
        </is>
      </c>
      <c r="C615" s="54" t="n">
        <v>67999340089</v>
      </c>
      <c r="D615" s="54" t="n">
        <v>41301</v>
      </c>
      <c r="E615" s="54" t="inlineStr">
        <is>
          <t>SUZANO LENCOIS PAULISTA</t>
        </is>
      </c>
      <c r="F615" s="49" t="inlineStr">
        <is>
          <t>FROTA</t>
        </is>
      </c>
      <c r="G615" s="54" t="inlineStr">
        <is>
          <t>TRA0323</t>
        </is>
      </c>
      <c r="H615" s="49" t="n"/>
      <c r="I615" s="55" t="n">
        <v>46235</v>
      </c>
      <c r="J615" s="84" t="n">
        <v>54.63</v>
      </c>
      <c r="K615" s="57" t="inlineStr">
        <is>
          <t>ATIVA</t>
        </is>
      </c>
      <c r="L615" s="58" t="n">
        <v>46252</v>
      </c>
    </row>
    <row r="616">
      <c r="A616" s="54" t="n">
        <v>212522538</v>
      </c>
      <c r="B616" s="54" t="inlineStr">
        <is>
          <t>VIVO</t>
        </is>
      </c>
      <c r="C616" s="54" t="n">
        <v>15996879967</v>
      </c>
      <c r="D616" s="54" t="n">
        <v>41201</v>
      </c>
      <c r="E616" s="54" t="inlineStr">
        <is>
          <t>BRACELL DUARTINA</t>
        </is>
      </c>
      <c r="F616" s="49" t="inlineStr">
        <is>
          <t>FROTA</t>
        </is>
      </c>
      <c r="G616" s="54" t="inlineStr">
        <is>
          <t>TRA0324</t>
        </is>
      </c>
      <c r="H616" s="49" t="n"/>
      <c r="I616" s="55" t="n">
        <v>46235</v>
      </c>
      <c r="J616" s="84" t="n">
        <v>39.59</v>
      </c>
      <c r="K616" s="57" t="inlineStr">
        <is>
          <t>ATIVA</t>
        </is>
      </c>
      <c r="L616" s="58" t="n">
        <v>46252</v>
      </c>
    </row>
    <row r="617">
      <c r="A617" s="54" t="n">
        <v>212522538</v>
      </c>
      <c r="B617" s="54" t="inlineStr">
        <is>
          <t>VIVO</t>
        </is>
      </c>
      <c r="C617" s="54" t="n">
        <v>15996221793</v>
      </c>
      <c r="D617" s="54" t="n">
        <v>41301</v>
      </c>
      <c r="E617" s="54" t="inlineStr">
        <is>
          <t>SUZANO LENCOIS PAULISTA</t>
        </is>
      </c>
      <c r="F617" s="49" t="inlineStr">
        <is>
          <t>FROTA</t>
        </is>
      </c>
      <c r="G617" s="54" t="inlineStr">
        <is>
          <t>TRA0345</t>
        </is>
      </c>
      <c r="H617" s="49" t="n"/>
      <c r="I617" s="55" t="n">
        <v>46235</v>
      </c>
      <c r="J617" s="84" t="n">
        <v>39.59</v>
      </c>
      <c r="K617" s="57" t="inlineStr">
        <is>
          <t>ATIVA</t>
        </is>
      </c>
      <c r="L617" s="58" t="n">
        <v>46252</v>
      </c>
    </row>
    <row r="618">
      <c r="A618" s="54" t="n">
        <v>212522538</v>
      </c>
      <c r="B618" s="54" t="inlineStr">
        <is>
          <t>VIVO</t>
        </is>
      </c>
      <c r="C618" s="54" t="n">
        <v>15996222157</v>
      </c>
      <c r="D618" s="54" t="n">
        <v>41301</v>
      </c>
      <c r="E618" s="54" t="inlineStr">
        <is>
          <t>SUZANO LENCOIS PAULISTA</t>
        </is>
      </c>
      <c r="F618" s="49" t="inlineStr">
        <is>
          <t>FROTA</t>
        </is>
      </c>
      <c r="G618" s="54" t="inlineStr">
        <is>
          <t>TRA0348</t>
        </is>
      </c>
      <c r="H618" s="49" t="n"/>
      <c r="I618" s="55" t="n">
        <v>46235</v>
      </c>
      <c r="J618" s="84" t="n">
        <v>39.59</v>
      </c>
      <c r="K618" s="57" t="inlineStr">
        <is>
          <t>ATIVA</t>
        </is>
      </c>
      <c r="L618" s="58" t="n">
        <v>46252</v>
      </c>
    </row>
    <row r="619">
      <c r="A619" s="54" t="n">
        <v>212522538</v>
      </c>
      <c r="B619" s="54" t="inlineStr">
        <is>
          <t>VIVO</t>
        </is>
      </c>
      <c r="C619" s="54" t="n">
        <v>15996613574</v>
      </c>
      <c r="D619" s="54" t="n">
        <v>42401</v>
      </c>
      <c r="E619" s="54" t="inlineStr">
        <is>
          <t>SUZANO SMA</t>
        </is>
      </c>
      <c r="F619" s="49" t="inlineStr">
        <is>
          <t>FROTA</t>
        </is>
      </c>
      <c r="G619" s="54" t="inlineStr">
        <is>
          <t>TRA0349</t>
        </is>
      </c>
      <c r="H619" s="49" t="n"/>
      <c r="I619" s="55" t="n">
        <v>46235</v>
      </c>
      <c r="J619" s="84" t="n">
        <v>39.59</v>
      </c>
      <c r="K619" s="57" t="inlineStr">
        <is>
          <t>ATIVA</t>
        </is>
      </c>
      <c r="L619" s="58" t="n">
        <v>46252</v>
      </c>
    </row>
    <row r="620">
      <c r="A620" s="54" t="n">
        <v>212522538</v>
      </c>
      <c r="B620" s="54" t="inlineStr">
        <is>
          <t>VIVO</t>
        </is>
      </c>
      <c r="C620" s="54" t="n">
        <v>15997435953</v>
      </c>
      <c r="D620" s="54" t="n">
        <v>42550</v>
      </c>
      <c r="E620" s="68" t="inlineStr">
        <is>
          <t>C02 - SUZANO CBO</t>
        </is>
      </c>
      <c r="F620" s="49" t="inlineStr">
        <is>
          <t>FROTA</t>
        </is>
      </c>
      <c r="G620" s="54" t="inlineStr">
        <is>
          <t>TRA0352</t>
        </is>
      </c>
      <c r="H620" s="49" t="n"/>
      <c r="I620" s="55" t="n">
        <v>46235</v>
      </c>
      <c r="J620" s="84" t="n">
        <v>39.59</v>
      </c>
      <c r="K620" s="57" t="inlineStr">
        <is>
          <t>ATIVA</t>
        </is>
      </c>
      <c r="L620" s="58" t="n">
        <v>46252</v>
      </c>
    </row>
    <row r="621">
      <c r="A621" s="54" t="n">
        <v>212522538</v>
      </c>
      <c r="B621" s="54" t="inlineStr">
        <is>
          <t>VIVO</t>
        </is>
      </c>
      <c r="C621" s="54" t="n">
        <v>15996968846</v>
      </c>
      <c r="D621" s="54" t="n">
        <v>41201</v>
      </c>
      <c r="E621" s="54" t="inlineStr">
        <is>
          <t>BRACELL DUARTINA</t>
        </is>
      </c>
      <c r="F621" s="49" t="inlineStr">
        <is>
          <t>FROTA</t>
        </is>
      </c>
      <c r="G621" s="54" t="inlineStr">
        <is>
          <t>TRA0356</t>
        </is>
      </c>
      <c r="H621" s="49" t="n"/>
      <c r="I621" s="55" t="n">
        <v>46235</v>
      </c>
      <c r="J621" s="84" t="n">
        <v>39.59</v>
      </c>
      <c r="K621" s="57" t="inlineStr">
        <is>
          <t>ATIVA</t>
        </is>
      </c>
      <c r="L621" s="58" t="n">
        <v>46252</v>
      </c>
    </row>
    <row r="622">
      <c r="A622" s="54" t="n">
        <v>212522538</v>
      </c>
      <c r="B622" s="54" t="inlineStr">
        <is>
          <t>VIVO</t>
        </is>
      </c>
      <c r="C622" s="54" t="n">
        <v>15996035756</v>
      </c>
      <c r="D622" s="54" t="n">
        <v>41201</v>
      </c>
      <c r="E622" s="54" t="inlineStr">
        <is>
          <t>BRACELL DUARTINA</t>
        </is>
      </c>
      <c r="F622" s="49" t="inlineStr">
        <is>
          <t>FROTA</t>
        </is>
      </c>
      <c r="G622" s="54" t="inlineStr">
        <is>
          <t>TRA0357</t>
        </is>
      </c>
      <c r="H622" s="49" t="n"/>
      <c r="I622" s="55" t="n">
        <v>46235</v>
      </c>
      <c r="J622" s="84" t="n">
        <v>39.59</v>
      </c>
      <c r="K622" s="57" t="inlineStr">
        <is>
          <t>ATIVA</t>
        </is>
      </c>
      <c r="L622" s="58" t="n">
        <v>46252</v>
      </c>
    </row>
    <row r="623">
      <c r="A623" s="54" t="n">
        <v>212522538</v>
      </c>
      <c r="B623" s="54" t="inlineStr">
        <is>
          <t>VIVO</t>
        </is>
      </c>
      <c r="C623" s="54" t="n">
        <v>15996411396</v>
      </c>
      <c r="D623" s="54" t="n">
        <v>41401</v>
      </c>
      <c r="E623" s="54" t="inlineStr">
        <is>
          <t>C03 - BRACELL DOURADO</t>
        </is>
      </c>
      <c r="F623" s="49" t="inlineStr">
        <is>
          <t>FROTA</t>
        </is>
      </c>
      <c r="G623" s="54" t="inlineStr">
        <is>
          <t>TRA0363</t>
        </is>
      </c>
      <c r="H623" s="49" t="n"/>
      <c r="I623" s="55" t="n">
        <v>46235</v>
      </c>
      <c r="J623" s="84" t="n">
        <v>39.59</v>
      </c>
      <c r="K623" s="57" t="inlineStr">
        <is>
          <t>ATIVA</t>
        </is>
      </c>
      <c r="L623" s="58" t="n">
        <v>46252</v>
      </c>
    </row>
    <row r="624">
      <c r="A624" s="54" t="n">
        <v>212522538</v>
      </c>
      <c r="B624" s="54" t="inlineStr">
        <is>
          <t>VIVO</t>
        </is>
      </c>
      <c r="C624" s="54" t="n">
        <v>15996130886</v>
      </c>
      <c r="D624" s="54" t="n">
        <v>42401</v>
      </c>
      <c r="E624" s="54" t="inlineStr">
        <is>
          <t>C03 - BRACELL DOURADO</t>
        </is>
      </c>
      <c r="F624" s="49" t="inlineStr">
        <is>
          <t>FROTA</t>
        </is>
      </c>
      <c r="G624" s="54" t="inlineStr">
        <is>
          <t>TRA0364</t>
        </is>
      </c>
      <c r="H624" s="49" t="n"/>
      <c r="I624" s="55" t="n">
        <v>46235</v>
      </c>
      <c r="J624" s="84" t="n">
        <v>39.59</v>
      </c>
      <c r="K624" s="57" t="inlineStr">
        <is>
          <t>ATIVA</t>
        </is>
      </c>
      <c r="L624" s="58" t="n">
        <v>46252</v>
      </c>
    </row>
    <row r="625">
      <c r="A625" s="54" t="n">
        <v>212522538</v>
      </c>
      <c r="B625" s="54" t="inlineStr">
        <is>
          <t>VIVO</t>
        </is>
      </c>
      <c r="C625" s="54" t="n">
        <v>15997014051</v>
      </c>
      <c r="D625" s="54" t="n">
        <v>41201</v>
      </c>
      <c r="E625" s="54" t="inlineStr">
        <is>
          <t>BRACELL DUARTINA</t>
        </is>
      </c>
      <c r="F625" s="49" t="inlineStr">
        <is>
          <t>FROTA</t>
        </is>
      </c>
      <c r="G625" s="54" t="inlineStr">
        <is>
          <t>TRA0374</t>
        </is>
      </c>
      <c r="H625" s="49" t="n"/>
      <c r="I625" s="55" t="n">
        <v>46235</v>
      </c>
      <c r="J625" s="84" t="n">
        <v>39.59</v>
      </c>
      <c r="K625" s="57" t="inlineStr">
        <is>
          <t>ATIVA</t>
        </is>
      </c>
      <c r="L625" s="58" t="n">
        <v>46252</v>
      </c>
    </row>
    <row r="626">
      <c r="A626" s="54" t="n">
        <v>212522538</v>
      </c>
      <c r="B626" s="54" t="inlineStr">
        <is>
          <t>VIVO</t>
        </is>
      </c>
      <c r="C626" s="54" t="n">
        <v>15996161603</v>
      </c>
      <c r="D626" s="54" t="n">
        <v>41501</v>
      </c>
      <c r="E626" s="54" t="inlineStr">
        <is>
          <t>C03 - BRACELL ITATINGA</t>
        </is>
      </c>
      <c r="F626" s="49" t="inlineStr">
        <is>
          <t>FROTA</t>
        </is>
      </c>
      <c r="G626" s="54" t="inlineStr">
        <is>
          <t>TRA0380</t>
        </is>
      </c>
      <c r="H626" s="49" t="n"/>
      <c r="I626" s="55" t="n">
        <v>46235</v>
      </c>
      <c r="J626" s="84" t="n">
        <v>39.59</v>
      </c>
      <c r="K626" s="57" t="inlineStr">
        <is>
          <t>ATIVA</t>
        </is>
      </c>
      <c r="L626" s="58" t="n">
        <v>46252</v>
      </c>
    </row>
    <row r="627">
      <c r="A627" s="54" t="n">
        <v>212522538</v>
      </c>
      <c r="B627" s="54" t="inlineStr">
        <is>
          <t>VIVO</t>
        </is>
      </c>
      <c r="C627" s="54" t="n">
        <v>15996640881</v>
      </c>
      <c r="D627" s="54" t="n">
        <v>41201</v>
      </c>
      <c r="E627" s="54" t="inlineStr">
        <is>
          <t>BRACELL DUARTINA</t>
        </is>
      </c>
      <c r="F627" s="49" t="inlineStr">
        <is>
          <t>FROTA</t>
        </is>
      </c>
      <c r="G627" s="54" t="inlineStr">
        <is>
          <t>TRA0381</t>
        </is>
      </c>
      <c r="H627" s="49" t="n"/>
      <c r="I627" s="55" t="n">
        <v>46235</v>
      </c>
      <c r="J627" s="84" t="n">
        <v>39.59</v>
      </c>
      <c r="K627" s="57" t="inlineStr">
        <is>
          <t>ATIVA</t>
        </is>
      </c>
      <c r="L627" s="58" t="n">
        <v>46252</v>
      </c>
    </row>
    <row r="628">
      <c r="A628" s="54" t="n">
        <v>212522538</v>
      </c>
      <c r="B628" s="54" t="inlineStr">
        <is>
          <t>VIVO</t>
        </is>
      </c>
      <c r="C628" s="54" t="n">
        <v>15998228360</v>
      </c>
      <c r="D628" s="54" t="n">
        <v>41201</v>
      </c>
      <c r="E628" s="54" t="inlineStr">
        <is>
          <t>BRACELL DUARTINA</t>
        </is>
      </c>
      <c r="F628" s="49" t="inlineStr">
        <is>
          <t>FROTA</t>
        </is>
      </c>
      <c r="G628" s="54" t="inlineStr">
        <is>
          <t>TRA0382</t>
        </is>
      </c>
      <c r="H628" s="49" t="n"/>
      <c r="I628" s="55" t="n">
        <v>46235</v>
      </c>
      <c r="J628" s="84" t="n">
        <v>39.59</v>
      </c>
      <c r="K628" s="57" t="inlineStr">
        <is>
          <t>ATIVA</t>
        </is>
      </c>
      <c r="L628" s="58" t="n">
        <v>46252</v>
      </c>
    </row>
    <row r="629">
      <c r="A629" s="54" t="n">
        <v>212522538</v>
      </c>
      <c r="B629" s="54" t="inlineStr">
        <is>
          <t>VIVO</t>
        </is>
      </c>
      <c r="C629" s="54" t="n">
        <v>15997460471</v>
      </c>
      <c r="D629" s="54" t="n">
        <v>41201</v>
      </c>
      <c r="E629" s="54" t="inlineStr">
        <is>
          <t>BRACELL DUARTINA</t>
        </is>
      </c>
      <c r="F629" s="49" t="inlineStr">
        <is>
          <t>FROTA</t>
        </is>
      </c>
      <c r="G629" s="54" t="inlineStr">
        <is>
          <t>TRA0387</t>
        </is>
      </c>
      <c r="H629" s="49" t="n"/>
      <c r="I629" s="55" t="n">
        <v>46235</v>
      </c>
      <c r="J629" s="84" t="n">
        <v>39.59</v>
      </c>
      <c r="K629" s="57" t="inlineStr">
        <is>
          <t>ATIVA</t>
        </is>
      </c>
      <c r="L629" s="58" t="n">
        <v>46252</v>
      </c>
    </row>
    <row r="630">
      <c r="A630" s="54" t="n">
        <v>212522538</v>
      </c>
      <c r="B630" s="54" t="inlineStr">
        <is>
          <t>VIVO</t>
        </is>
      </c>
      <c r="C630" s="54" t="n">
        <v>15998363784</v>
      </c>
      <c r="D630" s="54" t="n">
        <v>41501</v>
      </c>
      <c r="E630" s="54" t="inlineStr">
        <is>
          <t>C03 - BRACELL ITATINGA</t>
        </is>
      </c>
      <c r="F630" s="49" t="inlineStr">
        <is>
          <t>FROTA</t>
        </is>
      </c>
      <c r="G630" s="54" t="inlineStr">
        <is>
          <t>TRA0390</t>
        </is>
      </c>
      <c r="H630" s="49" t="n"/>
      <c r="I630" s="55" t="n">
        <v>46235</v>
      </c>
      <c r="J630" s="84" t="n">
        <v>39.59</v>
      </c>
      <c r="K630" s="57" t="inlineStr">
        <is>
          <t>ATIVA</t>
        </is>
      </c>
      <c r="L630" s="58" t="n">
        <v>46252</v>
      </c>
    </row>
    <row r="631">
      <c r="A631" s="54" t="n">
        <v>212522538</v>
      </c>
      <c r="B631" s="54" t="inlineStr">
        <is>
          <t>VIVO</t>
        </is>
      </c>
      <c r="C631" s="54" t="n">
        <v>15996726578</v>
      </c>
      <c r="D631" s="54" t="n">
        <v>420</v>
      </c>
      <c r="E631" s="54" t="inlineStr">
        <is>
          <t>GESTAO OP SP1</t>
        </is>
      </c>
      <c r="F631" s="49" t="inlineStr">
        <is>
          <t>FROTA</t>
        </is>
      </c>
      <c r="G631" s="54" t="inlineStr">
        <is>
          <t>TRA0432</t>
        </is>
      </c>
      <c r="H631" s="49" t="n"/>
      <c r="I631" s="55" t="n">
        <v>46235</v>
      </c>
      <c r="J631" s="84" t="n">
        <v>39.59</v>
      </c>
      <c r="K631" s="57" t="inlineStr">
        <is>
          <t>ATIVA</t>
        </is>
      </c>
      <c r="L631" s="58" t="n">
        <v>46252</v>
      </c>
    </row>
    <row r="632">
      <c r="A632" s="54" t="n">
        <v>212522538</v>
      </c>
      <c r="B632" s="54" t="inlineStr">
        <is>
          <t>VIVO</t>
        </is>
      </c>
      <c r="C632" s="54" t="n">
        <v>15998030597</v>
      </c>
      <c r="D632" s="54" t="n">
        <v>420</v>
      </c>
      <c r="E632" s="54" t="inlineStr">
        <is>
          <t>GESTAO OP SP1</t>
        </is>
      </c>
      <c r="F632" s="49" t="inlineStr">
        <is>
          <t>FROTA</t>
        </is>
      </c>
      <c r="G632" s="54" t="inlineStr">
        <is>
          <t>TRA0438</t>
        </is>
      </c>
      <c r="H632" s="49" t="n"/>
      <c r="I632" s="55" t="n">
        <v>46235</v>
      </c>
      <c r="J632" s="84" t="n">
        <v>39.59</v>
      </c>
      <c r="K632" s="57" t="inlineStr">
        <is>
          <t>ATIVA</t>
        </is>
      </c>
      <c r="L632" s="58" t="n">
        <v>46252</v>
      </c>
    </row>
    <row r="633">
      <c r="A633" s="54" t="n">
        <v>212522538</v>
      </c>
      <c r="B633" s="54" t="inlineStr">
        <is>
          <t>VIVO</t>
        </is>
      </c>
      <c r="C633" s="54" t="n">
        <v>67998317817</v>
      </c>
      <c r="D633" s="54" t="n">
        <v>42550</v>
      </c>
      <c r="E633" s="68" t="inlineStr">
        <is>
          <t>C02 - SUZANO CBO</t>
        </is>
      </c>
      <c r="F633" s="49" t="inlineStr">
        <is>
          <t>FROTA</t>
        </is>
      </c>
      <c r="G633" s="54" t="inlineStr">
        <is>
          <t>TRA0439</t>
        </is>
      </c>
      <c r="H633" s="49" t="n"/>
      <c r="I633" s="55" t="n">
        <v>46235</v>
      </c>
      <c r="J633" s="84" t="n">
        <v>54.63</v>
      </c>
      <c r="K633" s="57" t="inlineStr">
        <is>
          <t>ATIVA</t>
        </is>
      </c>
      <c r="L633" s="58" t="n">
        <v>46252</v>
      </c>
    </row>
    <row r="634">
      <c r="A634" s="54" t="n">
        <v>212522538</v>
      </c>
      <c r="B634" s="54" t="inlineStr">
        <is>
          <t>VIVO</t>
        </is>
      </c>
      <c r="C634" s="54" t="n">
        <v>15998270903</v>
      </c>
      <c r="D634" s="54" t="n">
        <v>420</v>
      </c>
      <c r="E634" s="54" t="inlineStr">
        <is>
          <t>GESTAO OP SP1</t>
        </is>
      </c>
      <c r="F634" s="49" t="inlineStr">
        <is>
          <t>FROTA</t>
        </is>
      </c>
      <c r="G634" s="54" t="inlineStr">
        <is>
          <t>TRA0439</t>
        </is>
      </c>
      <c r="H634" s="49" t="n"/>
      <c r="I634" s="55" t="n">
        <v>46235</v>
      </c>
      <c r="J634" s="84" t="n">
        <v>39.59</v>
      </c>
      <c r="K634" s="57" t="inlineStr">
        <is>
          <t>ATIVA</t>
        </is>
      </c>
      <c r="L634" s="58" t="n">
        <v>46252</v>
      </c>
    </row>
    <row r="635">
      <c r="A635" s="54" t="n">
        <v>212522538</v>
      </c>
      <c r="B635" s="54" t="inlineStr">
        <is>
          <t>VIVO</t>
        </is>
      </c>
      <c r="C635" s="54" t="n">
        <v>15997899845</v>
      </c>
      <c r="D635" s="54" t="n">
        <v>41401</v>
      </c>
      <c r="E635" s="54" t="inlineStr">
        <is>
          <t>C03 - BRACELL DOURADO</t>
        </is>
      </c>
      <c r="F635" s="49" t="inlineStr">
        <is>
          <t>FROTA</t>
        </is>
      </c>
      <c r="G635" s="54" t="inlineStr">
        <is>
          <t>TRA0448</t>
        </is>
      </c>
      <c r="H635" s="49" t="n"/>
      <c r="I635" s="55" t="n">
        <v>46235</v>
      </c>
      <c r="J635" s="84" t="n">
        <v>39.59</v>
      </c>
      <c r="K635" s="57" t="inlineStr">
        <is>
          <t>ATIVA</t>
        </is>
      </c>
      <c r="L635" s="58" t="n">
        <v>46252</v>
      </c>
    </row>
    <row r="636">
      <c r="A636" s="54" t="n">
        <v>212522538</v>
      </c>
      <c r="B636" s="54" t="inlineStr">
        <is>
          <t>VIVO</t>
        </is>
      </c>
      <c r="C636" s="54" t="n">
        <v>15997109501</v>
      </c>
      <c r="D636" s="54" t="n">
        <v>41501</v>
      </c>
      <c r="E636" s="54" t="inlineStr">
        <is>
          <t>C03 - BRACELL DOURADO</t>
        </is>
      </c>
      <c r="F636" s="49" t="inlineStr">
        <is>
          <t>FROTA</t>
        </is>
      </c>
      <c r="G636" s="54" t="inlineStr">
        <is>
          <t>TRA0449</t>
        </is>
      </c>
      <c r="H636" s="49" t="n"/>
      <c r="I636" s="55" t="n">
        <v>46235</v>
      </c>
      <c r="J636" s="84" t="n">
        <v>39.59</v>
      </c>
      <c r="K636" s="57" t="inlineStr">
        <is>
          <t>ATIVA</t>
        </is>
      </c>
      <c r="L636" s="58" t="n">
        <v>46252</v>
      </c>
    </row>
    <row r="637">
      <c r="A637" s="54" t="n">
        <v>212522538</v>
      </c>
      <c r="B637" s="54" t="inlineStr">
        <is>
          <t>VIVO</t>
        </is>
      </c>
      <c r="C637" s="54" t="n">
        <v>13997152259</v>
      </c>
      <c r="D637" s="54" t="n">
        <v>42550</v>
      </c>
      <c r="E637" s="68" t="inlineStr">
        <is>
          <t>C02 - SUZANO CBO</t>
        </is>
      </c>
      <c r="F637" s="49" t="inlineStr">
        <is>
          <t>FROTA</t>
        </is>
      </c>
      <c r="G637" s="54" t="inlineStr">
        <is>
          <t>TRA0450</t>
        </is>
      </c>
      <c r="H637" s="49" t="n"/>
      <c r="I637" s="55" t="n">
        <v>46235</v>
      </c>
      <c r="J637" s="84" t="n">
        <v>39.59</v>
      </c>
      <c r="K637" s="57" t="inlineStr">
        <is>
          <t>ATIVA</t>
        </is>
      </c>
      <c r="L637" s="58" t="n">
        <v>46252</v>
      </c>
    </row>
    <row r="638">
      <c r="A638" s="54" t="n">
        <v>212522538</v>
      </c>
      <c r="B638" s="54" t="inlineStr">
        <is>
          <t>VIVO</t>
        </is>
      </c>
      <c r="C638" s="54" t="n">
        <v>15997166097</v>
      </c>
      <c r="D638" s="54" t="n">
        <v>41401</v>
      </c>
      <c r="E638" s="54" t="inlineStr">
        <is>
          <t>C03 - BRACELL DOURADO</t>
        </is>
      </c>
      <c r="F638" s="49" t="inlineStr">
        <is>
          <t>FROTA</t>
        </is>
      </c>
      <c r="G638" s="54" t="inlineStr">
        <is>
          <t>TRA0451</t>
        </is>
      </c>
      <c r="H638" s="49" t="n"/>
      <c r="I638" s="55" t="n">
        <v>46235</v>
      </c>
      <c r="J638" s="84" t="n">
        <v>39.59</v>
      </c>
      <c r="K638" s="57" t="inlineStr">
        <is>
          <t>ATIVA</t>
        </is>
      </c>
      <c r="L638" s="58" t="n">
        <v>46252</v>
      </c>
    </row>
    <row r="639">
      <c r="A639" s="54" t="n">
        <v>212522538</v>
      </c>
      <c r="B639" s="54" t="inlineStr">
        <is>
          <t>VIVO</t>
        </is>
      </c>
      <c r="C639" s="54" t="n">
        <v>13997058362</v>
      </c>
      <c r="D639" s="54" t="n">
        <v>42550</v>
      </c>
      <c r="E639" s="68" t="inlineStr">
        <is>
          <t>C02 - SUZANO CBO</t>
        </is>
      </c>
      <c r="F639" s="49" t="inlineStr">
        <is>
          <t>FROTA</t>
        </is>
      </c>
      <c r="G639" s="54" t="inlineStr">
        <is>
          <t>TRA0452</t>
        </is>
      </c>
      <c r="H639" s="49" t="n"/>
      <c r="I639" s="55" t="n">
        <v>46235</v>
      </c>
      <c r="J639" s="84" t="n">
        <v>39.59</v>
      </c>
      <c r="K639" s="57" t="inlineStr">
        <is>
          <t>ATIVA</t>
        </is>
      </c>
      <c r="L639" s="58" t="n">
        <v>46252</v>
      </c>
    </row>
    <row r="640">
      <c r="A640" s="54" t="n">
        <v>212522538</v>
      </c>
      <c r="B640" s="54" t="inlineStr">
        <is>
          <t>VIVO</t>
        </is>
      </c>
      <c r="C640" s="54" t="n">
        <v>51980411975</v>
      </c>
      <c r="D640" s="54" t="n">
        <v>42501</v>
      </c>
      <c r="E640" s="54" t="inlineStr">
        <is>
          <t>C02 - BRACELL CBO</t>
        </is>
      </c>
      <c r="F640" s="74" t="inlineStr">
        <is>
          <t>FROTA</t>
        </is>
      </c>
      <c r="G640" s="54" t="inlineStr">
        <is>
          <t>FROTA CBO - VERIFICAR</t>
        </is>
      </c>
      <c r="H640" s="49" t="n"/>
      <c r="I640" s="55" t="n">
        <v>46235</v>
      </c>
      <c r="J640" s="84" t="n">
        <v>39.59</v>
      </c>
      <c r="K640" s="54" t="inlineStr">
        <is>
          <t>VERIFICAR</t>
        </is>
      </c>
      <c r="L640" s="58" t="n">
        <v>46252</v>
      </c>
    </row>
    <row r="641">
      <c r="A641" s="54" t="n">
        <v>212522538</v>
      </c>
      <c r="B641" s="54" t="inlineStr">
        <is>
          <t>VIVO</t>
        </is>
      </c>
      <c r="C641" s="54" t="n">
        <v>15991359694</v>
      </c>
      <c r="D641" s="54" t="n">
        <v>41501</v>
      </c>
      <c r="E641" s="54" t="inlineStr">
        <is>
          <t>C03 - BRACELL ITATINGA</t>
        </is>
      </c>
      <c r="F641" s="49" t="inlineStr">
        <is>
          <t>FROTA</t>
        </is>
      </c>
      <c r="G641" s="54" t="inlineStr">
        <is>
          <t>TRA0453</t>
        </is>
      </c>
      <c r="H641" s="49" t="n"/>
      <c r="I641" s="55" t="n">
        <v>46235</v>
      </c>
      <c r="J641" s="84" t="n">
        <v>39.59</v>
      </c>
      <c r="K641" s="57" t="inlineStr">
        <is>
          <t>ATIVA</t>
        </is>
      </c>
      <c r="L641" s="58" t="n">
        <v>46252</v>
      </c>
    </row>
    <row r="642">
      <c r="A642" s="54" t="n">
        <v>212522538</v>
      </c>
      <c r="B642" s="54" t="inlineStr">
        <is>
          <t>VIVO</t>
        </is>
      </c>
      <c r="C642" s="54" t="n">
        <v>15996053109</v>
      </c>
      <c r="D642" s="54" t="n">
        <v>41401</v>
      </c>
      <c r="E642" s="54" t="inlineStr">
        <is>
          <t>C03 - BRACELL DOURADO</t>
        </is>
      </c>
      <c r="F642" s="49" t="inlineStr">
        <is>
          <t>FROTA</t>
        </is>
      </c>
      <c r="G642" s="54" t="inlineStr">
        <is>
          <t>TRA0459</t>
        </is>
      </c>
      <c r="H642" s="49" t="n"/>
      <c r="I642" s="55" t="n">
        <v>46235</v>
      </c>
      <c r="J642" s="84" t="n">
        <v>39.59</v>
      </c>
      <c r="K642" s="57" t="inlineStr">
        <is>
          <t>ATIVA</t>
        </is>
      </c>
      <c r="L642" s="58" t="n">
        <v>46252</v>
      </c>
    </row>
    <row r="643">
      <c r="A643" s="54" t="n">
        <v>212522538</v>
      </c>
      <c r="B643" s="54" t="inlineStr">
        <is>
          <t>VIVO</t>
        </is>
      </c>
      <c r="C643" s="54" t="n">
        <v>15997367246</v>
      </c>
      <c r="D643" s="54" t="n">
        <v>41401</v>
      </c>
      <c r="E643" s="54" t="inlineStr">
        <is>
          <t>C03 - BRACELL DOURADO</t>
        </is>
      </c>
      <c r="F643" s="49" t="inlineStr">
        <is>
          <t>FROTA</t>
        </is>
      </c>
      <c r="G643" s="54" t="inlineStr">
        <is>
          <t>TRA0460</t>
        </is>
      </c>
      <c r="H643" s="49" t="n"/>
      <c r="I643" s="55" t="n">
        <v>46235</v>
      </c>
      <c r="J643" s="84" t="n">
        <v>39.59</v>
      </c>
      <c r="K643" s="57" t="inlineStr">
        <is>
          <t>ATIVA</t>
        </is>
      </c>
      <c r="L643" s="58" t="n">
        <v>46252</v>
      </c>
    </row>
    <row r="644">
      <c r="A644" s="54" t="inlineStr">
        <is>
          <t>71768171</t>
        </is>
      </c>
      <c r="B644" s="54" t="inlineStr">
        <is>
          <t>TIM</t>
        </is>
      </c>
      <c r="C644" s="54" t="inlineStr">
        <is>
          <t>15981632346</t>
        </is>
      </c>
      <c r="D644" s="54" t="inlineStr">
        <is>
          <t>41201</t>
        </is>
      </c>
      <c r="E644" s="54" t="inlineStr">
        <is>
          <t>C05 - BRACELL DUARTINA</t>
        </is>
      </c>
      <c r="F644" s="49" t="n"/>
      <c r="G644" s="54" t="inlineStr">
        <is>
          <t>VALCIR MENDES DA SILVA</t>
        </is>
      </c>
      <c r="H644" s="49" t="inlineStr">
        <is>
          <t>00820189952</t>
        </is>
      </c>
      <c r="I644" s="55" t="n">
        <v>46235</v>
      </c>
      <c r="J644" s="84" t="n">
        <v>39.24</v>
      </c>
      <c r="K644" s="57" t="inlineStr">
        <is>
          <t>ATIVA</t>
        </is>
      </c>
      <c r="L644" s="58" t="n">
        <v>46252</v>
      </c>
    </row>
    <row r="645">
      <c r="A645" s="54" t="n">
        <v>212522538</v>
      </c>
      <c r="B645" s="54" t="inlineStr">
        <is>
          <t>VIVO</t>
        </is>
      </c>
      <c r="C645" s="54" t="n">
        <v>15996456916</v>
      </c>
      <c r="D645" s="54" t="n">
        <v>42550</v>
      </c>
      <c r="E645" s="68" t="inlineStr">
        <is>
          <t>C02 - SUZANO CBO</t>
        </is>
      </c>
      <c r="F645" s="49" t="inlineStr">
        <is>
          <t>FROTA</t>
        </is>
      </c>
      <c r="G645" s="54" t="inlineStr">
        <is>
          <t>TRA0471</t>
        </is>
      </c>
      <c r="H645" s="49" t="n"/>
      <c r="I645" s="55" t="n">
        <v>46235</v>
      </c>
      <c r="J645" s="84" t="n">
        <v>39.59</v>
      </c>
      <c r="K645" s="57" t="inlineStr">
        <is>
          <t>ATIVA</t>
        </is>
      </c>
      <c r="L645" s="58" t="n">
        <v>46252</v>
      </c>
    </row>
    <row r="646">
      <c r="A646" s="54" t="n">
        <v>212522538</v>
      </c>
      <c r="B646" s="54" t="inlineStr">
        <is>
          <t>VIVO</t>
        </is>
      </c>
      <c r="C646" s="54" t="n">
        <v>15996885336</v>
      </c>
      <c r="D646" s="54" t="n">
        <v>42501</v>
      </c>
      <c r="E646" s="54" t="inlineStr">
        <is>
          <t>C02 - BRACELL CBO</t>
        </is>
      </c>
      <c r="F646" s="49" t="inlineStr">
        <is>
          <t>FROTA</t>
        </is>
      </c>
      <c r="G646" s="54" t="inlineStr">
        <is>
          <t>TRA0481</t>
        </is>
      </c>
      <c r="H646" s="49" t="n"/>
      <c r="I646" s="55" t="n">
        <v>46235</v>
      </c>
      <c r="J646" s="84" t="n">
        <v>39.59</v>
      </c>
      <c r="K646" s="57" t="inlineStr">
        <is>
          <t>ATIVA</t>
        </is>
      </c>
      <c r="L646" s="58" t="n">
        <v>46252</v>
      </c>
    </row>
    <row r="647">
      <c r="A647" s="54" t="n">
        <v>212522538</v>
      </c>
      <c r="B647" s="54" t="inlineStr">
        <is>
          <t>VIVO</t>
        </is>
      </c>
      <c r="C647" s="54" t="n">
        <v>15996507207</v>
      </c>
      <c r="D647" s="54" t="n">
        <v>42550</v>
      </c>
      <c r="E647" s="68" t="inlineStr">
        <is>
          <t>C02 - SUZANO CBO</t>
        </is>
      </c>
      <c r="F647" s="49" t="inlineStr">
        <is>
          <t>FROTA</t>
        </is>
      </c>
      <c r="G647" s="54" t="inlineStr">
        <is>
          <t>TRA0485</t>
        </is>
      </c>
      <c r="H647" s="49" t="n"/>
      <c r="I647" s="55" t="n">
        <v>46235</v>
      </c>
      <c r="J647" s="84" t="n">
        <v>39.59</v>
      </c>
      <c r="K647" s="57" t="inlineStr">
        <is>
          <t>ATIVA</t>
        </is>
      </c>
      <c r="L647" s="58" t="n">
        <v>46252</v>
      </c>
    </row>
    <row r="648">
      <c r="A648" s="54" t="n">
        <v>212522538</v>
      </c>
      <c r="B648" s="54" t="inlineStr">
        <is>
          <t>VIVO</t>
        </is>
      </c>
      <c r="C648" s="54" t="n">
        <v>15996788936</v>
      </c>
      <c r="D648" s="54" t="n">
        <v>41201</v>
      </c>
      <c r="E648" s="54" t="inlineStr">
        <is>
          <t>BRACELL DUARTINA</t>
        </is>
      </c>
      <c r="F648" s="49" t="inlineStr">
        <is>
          <t>FROTA</t>
        </is>
      </c>
      <c r="G648" s="54" t="inlineStr">
        <is>
          <t>TRA0489</t>
        </is>
      </c>
      <c r="H648" s="49" t="n"/>
      <c r="I648" s="55" t="n">
        <v>46235</v>
      </c>
      <c r="J648" s="84" t="n">
        <v>39.59</v>
      </c>
      <c r="K648" s="57" t="inlineStr">
        <is>
          <t>ATIVA</t>
        </is>
      </c>
      <c r="L648" s="58" t="n">
        <v>46252</v>
      </c>
    </row>
    <row r="649">
      <c r="A649" s="54" t="n">
        <v>212522538</v>
      </c>
      <c r="B649" s="54" t="inlineStr">
        <is>
          <t>VIVO</t>
        </is>
      </c>
      <c r="C649" s="54" t="n">
        <v>13996866953</v>
      </c>
      <c r="D649" s="54" t="n">
        <v>42550</v>
      </c>
      <c r="E649" s="68" t="inlineStr">
        <is>
          <t>C02 - SUZANO CBO</t>
        </is>
      </c>
      <c r="F649" s="49" t="inlineStr">
        <is>
          <t>FROTA</t>
        </is>
      </c>
      <c r="G649" s="54" t="inlineStr">
        <is>
          <t>TRA0500</t>
        </is>
      </c>
      <c r="H649" s="49" t="n"/>
      <c r="I649" s="55" t="n">
        <v>46235</v>
      </c>
      <c r="J649" s="84" t="n">
        <v>39.59</v>
      </c>
      <c r="K649" s="57" t="inlineStr">
        <is>
          <t>ATIVA</t>
        </is>
      </c>
      <c r="L649" s="58" t="n">
        <v>46252</v>
      </c>
    </row>
    <row r="650">
      <c r="A650" s="54" t="n">
        <v>212522538</v>
      </c>
      <c r="B650" s="54" t="inlineStr">
        <is>
          <t>VIVO</t>
        </is>
      </c>
      <c r="C650" s="54" t="n">
        <v>15998471645</v>
      </c>
      <c r="D650" s="54" t="n">
        <v>42550</v>
      </c>
      <c r="E650" s="68" t="inlineStr">
        <is>
          <t>C02 - SUZANO CBO</t>
        </is>
      </c>
      <c r="F650" s="49" t="inlineStr">
        <is>
          <t>FROTA</t>
        </is>
      </c>
      <c r="G650" s="54" t="inlineStr">
        <is>
          <t>TRA0500</t>
        </is>
      </c>
      <c r="H650" s="49" t="n"/>
      <c r="I650" s="55" t="n">
        <v>46235</v>
      </c>
      <c r="J650" s="84" t="n">
        <v>39.59</v>
      </c>
      <c r="K650" s="57" t="inlineStr">
        <is>
          <t>ATIVA</t>
        </is>
      </c>
      <c r="L650" s="58" t="n">
        <v>46252</v>
      </c>
    </row>
    <row r="651">
      <c r="A651" s="54" t="n">
        <v>212522538</v>
      </c>
      <c r="B651" s="54" t="inlineStr">
        <is>
          <t>VIVO</t>
        </is>
      </c>
      <c r="C651" s="54" t="n">
        <v>67996638143</v>
      </c>
      <c r="D651" s="54" t="n">
        <v>42550</v>
      </c>
      <c r="E651" s="68" t="inlineStr">
        <is>
          <t>C02 - SUZANO CBO</t>
        </is>
      </c>
      <c r="F651" s="49" t="inlineStr">
        <is>
          <t>FROTA</t>
        </is>
      </c>
      <c r="G651" s="54" t="inlineStr">
        <is>
          <t>TRA0500</t>
        </is>
      </c>
      <c r="H651" s="49" t="n"/>
      <c r="I651" s="55" t="n">
        <v>46235</v>
      </c>
      <c r="J651" s="84" t="n">
        <v>54.63</v>
      </c>
      <c r="K651" s="57" t="inlineStr">
        <is>
          <t>ATIVA</t>
        </is>
      </c>
      <c r="L651" s="58" t="n">
        <v>46252</v>
      </c>
    </row>
    <row r="652">
      <c r="A652" s="54" t="n">
        <v>212522538</v>
      </c>
      <c r="B652" s="54" t="inlineStr">
        <is>
          <t>VIVO</t>
        </is>
      </c>
      <c r="C652" s="54" t="n">
        <v>15996334438</v>
      </c>
      <c r="D652" s="54" t="n">
        <v>420</v>
      </c>
      <c r="E652" s="54" t="inlineStr">
        <is>
          <t>GESTAO OP SP1</t>
        </is>
      </c>
      <c r="F652" s="49" t="inlineStr">
        <is>
          <t>FROTA</t>
        </is>
      </c>
      <c r="G652" s="54" t="inlineStr">
        <is>
          <t>TRA0503</t>
        </is>
      </c>
      <c r="H652" s="49" t="n"/>
      <c r="I652" s="55" t="n">
        <v>46235</v>
      </c>
      <c r="J652" s="84" t="n">
        <v>39.59</v>
      </c>
      <c r="K652" s="57" t="inlineStr">
        <is>
          <t>ATIVA</t>
        </is>
      </c>
      <c r="L652" s="58" t="n">
        <v>46252</v>
      </c>
    </row>
    <row r="653">
      <c r="A653" s="54" t="n">
        <v>212522538</v>
      </c>
      <c r="B653" s="54" t="inlineStr">
        <is>
          <t>VIVO</t>
        </is>
      </c>
      <c r="C653" s="54" t="n">
        <v>15996802310</v>
      </c>
      <c r="D653" s="54" t="n">
        <v>42550</v>
      </c>
      <c r="E653" s="68" t="inlineStr">
        <is>
          <t>C02 - SUZANO CBO</t>
        </is>
      </c>
      <c r="F653" s="49" t="inlineStr">
        <is>
          <t>FROTA</t>
        </is>
      </c>
      <c r="G653" s="54" t="inlineStr">
        <is>
          <t>TRA0504</t>
        </is>
      </c>
      <c r="H653" s="49" t="n"/>
      <c r="I653" s="55" t="n">
        <v>46235</v>
      </c>
      <c r="J653" s="84" t="n">
        <v>39.59</v>
      </c>
      <c r="K653" s="57" t="inlineStr">
        <is>
          <t>ATIVA</t>
        </is>
      </c>
      <c r="L653" s="58" t="n">
        <v>46252</v>
      </c>
    </row>
    <row r="654">
      <c r="A654" s="54" t="n">
        <v>212522538</v>
      </c>
      <c r="B654" s="54" t="inlineStr">
        <is>
          <t>VIVO</t>
        </is>
      </c>
      <c r="C654" s="54" t="n">
        <v>15996004217</v>
      </c>
      <c r="D654" s="54" t="n">
        <v>42401</v>
      </c>
      <c r="E654" s="54" t="inlineStr">
        <is>
          <t>SUZANO SMA</t>
        </is>
      </c>
      <c r="F654" s="49" t="inlineStr">
        <is>
          <t>FROTA</t>
        </is>
      </c>
      <c r="G654" s="54" t="inlineStr">
        <is>
          <t>TRA0506</t>
        </is>
      </c>
      <c r="H654" s="49" t="n"/>
      <c r="I654" s="55" t="n">
        <v>46235</v>
      </c>
      <c r="J654" s="84" t="n">
        <v>39.59</v>
      </c>
      <c r="K654" s="57" t="inlineStr">
        <is>
          <t>ATIVA</t>
        </is>
      </c>
      <c r="L654" s="58" t="n">
        <v>46252</v>
      </c>
    </row>
    <row r="655">
      <c r="A655" s="54" t="n">
        <v>212522538</v>
      </c>
      <c r="B655" s="54" t="inlineStr">
        <is>
          <t>VIVO</t>
        </is>
      </c>
      <c r="C655" s="54" t="n">
        <v>15996445894</v>
      </c>
      <c r="D655" s="54" t="n">
        <v>420</v>
      </c>
      <c r="E655" s="54" t="inlineStr">
        <is>
          <t>GESTAO OP SP1</t>
        </is>
      </c>
      <c r="F655" s="49" t="inlineStr">
        <is>
          <t>FROTA</t>
        </is>
      </c>
      <c r="G655" s="54" t="inlineStr">
        <is>
          <t>TRA0506</t>
        </is>
      </c>
      <c r="H655" s="49" t="n"/>
      <c r="I655" s="55" t="n">
        <v>46235</v>
      </c>
      <c r="J655" s="84" t="n">
        <v>39.59</v>
      </c>
      <c r="K655" s="57" t="inlineStr">
        <is>
          <t>ATIVA</t>
        </is>
      </c>
      <c r="L655" s="58" t="n">
        <v>46252</v>
      </c>
    </row>
    <row r="656">
      <c r="A656" s="54" t="n">
        <v>212522538</v>
      </c>
      <c r="B656" s="54" t="inlineStr">
        <is>
          <t>VIVO</t>
        </is>
      </c>
      <c r="C656" s="54" t="n">
        <v>15996248267</v>
      </c>
      <c r="D656" s="54" t="n">
        <v>420</v>
      </c>
      <c r="E656" s="54" t="inlineStr">
        <is>
          <t>GESTAO OP SP1</t>
        </is>
      </c>
      <c r="F656" s="49" t="inlineStr">
        <is>
          <t>FROTA</t>
        </is>
      </c>
      <c r="G656" s="54" t="inlineStr">
        <is>
          <t>TRA0507</t>
        </is>
      </c>
      <c r="H656" s="49" t="n"/>
      <c r="I656" s="55" t="n">
        <v>46235</v>
      </c>
      <c r="J656" s="84" t="n">
        <v>39.59</v>
      </c>
      <c r="K656" s="57" t="inlineStr">
        <is>
          <t>ATIVA</t>
        </is>
      </c>
      <c r="L656" s="58" t="n">
        <v>46252</v>
      </c>
    </row>
    <row r="657">
      <c r="A657" s="54" t="n">
        <v>212522538</v>
      </c>
      <c r="B657" s="54" t="inlineStr">
        <is>
          <t>VIVO</t>
        </is>
      </c>
      <c r="C657" s="54" t="n">
        <v>15998259497</v>
      </c>
      <c r="D657" s="54" t="n">
        <v>42550</v>
      </c>
      <c r="E657" s="68" t="inlineStr">
        <is>
          <t>C02 - SUZANO CBO</t>
        </is>
      </c>
      <c r="F657" s="49" t="inlineStr">
        <is>
          <t>FROTA</t>
        </is>
      </c>
      <c r="G657" s="54" t="inlineStr">
        <is>
          <t>TRA0514</t>
        </is>
      </c>
      <c r="H657" s="49" t="n"/>
      <c r="I657" s="55" t="n">
        <v>46235</v>
      </c>
      <c r="J657" s="84" t="n">
        <v>39.59</v>
      </c>
      <c r="K657" s="57" t="inlineStr">
        <is>
          <t>ATIVA</t>
        </is>
      </c>
      <c r="L657" s="58" t="n">
        <v>46252</v>
      </c>
    </row>
    <row r="658">
      <c r="A658" s="54" t="n">
        <v>212522538</v>
      </c>
      <c r="B658" s="54" t="inlineStr">
        <is>
          <t>VIVO</t>
        </is>
      </c>
      <c r="C658" s="54" t="n">
        <v>67996907194</v>
      </c>
      <c r="D658" s="54" t="n">
        <v>42550</v>
      </c>
      <c r="E658" s="68" t="inlineStr">
        <is>
          <t>C02 - SUZANO CBO</t>
        </is>
      </c>
      <c r="F658" s="49" t="inlineStr">
        <is>
          <t>FROTA</t>
        </is>
      </c>
      <c r="G658" s="54" t="inlineStr">
        <is>
          <t>TRA0514</t>
        </is>
      </c>
      <c r="H658" s="49" t="n"/>
      <c r="I658" s="55" t="n">
        <v>46235</v>
      </c>
      <c r="J658" s="84" t="n">
        <v>60.04</v>
      </c>
      <c r="K658" s="57" t="inlineStr">
        <is>
          <t>ATIVA</t>
        </is>
      </c>
      <c r="L658" s="58" t="n">
        <v>46252</v>
      </c>
    </row>
    <row r="659">
      <c r="A659" s="54" t="n">
        <v>212522538</v>
      </c>
      <c r="B659" s="54" t="inlineStr">
        <is>
          <t>VIVO</t>
        </is>
      </c>
      <c r="C659" s="54" t="n">
        <v>15996518410</v>
      </c>
      <c r="D659" s="54" t="n">
        <v>41201</v>
      </c>
      <c r="E659" s="54" t="inlineStr">
        <is>
          <t>BRACELL DUARTINA</t>
        </is>
      </c>
      <c r="F659" s="49" t="inlineStr">
        <is>
          <t>FROTA</t>
        </is>
      </c>
      <c r="G659" s="54" t="inlineStr">
        <is>
          <t>TRA0514</t>
        </is>
      </c>
      <c r="H659" s="49" t="n"/>
      <c r="I659" s="55" t="n">
        <v>46235</v>
      </c>
      <c r="J659" s="84" t="n">
        <v>49.13</v>
      </c>
      <c r="K659" s="57" t="inlineStr">
        <is>
          <t>ATIVA</t>
        </is>
      </c>
      <c r="L659" s="58" t="n">
        <v>46252</v>
      </c>
    </row>
    <row r="660">
      <c r="A660" s="54" t="n">
        <v>212522538</v>
      </c>
      <c r="B660" s="54" t="inlineStr">
        <is>
          <t>VIVO</t>
        </is>
      </c>
      <c r="C660" s="54" t="n">
        <v>15996927796</v>
      </c>
      <c r="D660" s="54" t="n">
        <v>41501</v>
      </c>
      <c r="E660" s="54" t="inlineStr">
        <is>
          <t>C03 - BRACELL ITATINGA</t>
        </is>
      </c>
      <c r="F660" s="49" t="inlineStr">
        <is>
          <t>FROTA</t>
        </is>
      </c>
      <c r="G660" s="54" t="inlineStr">
        <is>
          <t>TRA0517</t>
        </is>
      </c>
      <c r="H660" s="49" t="n"/>
      <c r="I660" s="55" t="n">
        <v>46235</v>
      </c>
      <c r="J660" s="84" t="n">
        <v>39.59</v>
      </c>
      <c r="K660" s="57" t="inlineStr">
        <is>
          <t>ATIVA</t>
        </is>
      </c>
      <c r="L660" s="58" t="n">
        <v>46252</v>
      </c>
    </row>
    <row r="661">
      <c r="A661" s="54" t="n">
        <v>212522538</v>
      </c>
      <c r="B661" s="54" t="inlineStr">
        <is>
          <t>VIVO</t>
        </is>
      </c>
      <c r="C661" s="54" t="n">
        <v>15997553524</v>
      </c>
      <c r="D661" s="54" t="n">
        <v>41201</v>
      </c>
      <c r="E661" s="54" t="inlineStr">
        <is>
          <t>BRACELL DUARTINA</t>
        </is>
      </c>
      <c r="F661" s="49" t="inlineStr">
        <is>
          <t>FROTA</t>
        </is>
      </c>
      <c r="G661" s="54" t="inlineStr">
        <is>
          <t>TRA0518</t>
        </is>
      </c>
      <c r="H661" s="49" t="n"/>
      <c r="I661" s="55" t="n">
        <v>46235</v>
      </c>
      <c r="J661" s="84" t="n">
        <v>39.59</v>
      </c>
      <c r="K661" s="57" t="inlineStr">
        <is>
          <t>ATIVA</t>
        </is>
      </c>
      <c r="L661" s="58" t="n">
        <v>46252</v>
      </c>
    </row>
    <row r="662">
      <c r="A662" s="54" t="n">
        <v>212522538</v>
      </c>
      <c r="B662" s="54" t="inlineStr">
        <is>
          <t>VIVO</t>
        </is>
      </c>
      <c r="C662" s="54" t="n">
        <v>15997048026</v>
      </c>
      <c r="D662" s="54" t="n">
        <v>41501</v>
      </c>
      <c r="E662" s="54" t="inlineStr">
        <is>
          <t>C03 - BRACELL ITATINGA</t>
        </is>
      </c>
      <c r="F662" s="49" t="inlineStr">
        <is>
          <t>FROTA</t>
        </is>
      </c>
      <c r="G662" s="54" t="inlineStr">
        <is>
          <t>TRA0519</t>
        </is>
      </c>
      <c r="H662" s="49" t="n"/>
      <c r="I662" s="55" t="n">
        <v>46235</v>
      </c>
      <c r="J662" s="84" t="n">
        <v>39.59</v>
      </c>
      <c r="K662" s="57" t="inlineStr">
        <is>
          <t>ATIVA</t>
        </is>
      </c>
      <c r="L662" s="58" t="n">
        <v>46252</v>
      </c>
    </row>
    <row r="663">
      <c r="A663" s="54" t="n">
        <v>212522538</v>
      </c>
      <c r="B663" s="54" t="inlineStr">
        <is>
          <t>VIVO</t>
        </is>
      </c>
      <c r="C663" s="54" t="n">
        <v>15996486725</v>
      </c>
      <c r="D663" s="54" t="n">
        <v>41201</v>
      </c>
      <c r="E663" s="54" t="inlineStr">
        <is>
          <t>BRACELL DUARTINA</t>
        </is>
      </c>
      <c r="F663" s="49" t="inlineStr">
        <is>
          <t>FROTA</t>
        </is>
      </c>
      <c r="G663" s="54" t="inlineStr">
        <is>
          <t>TRA0520</t>
        </is>
      </c>
      <c r="H663" s="49" t="n"/>
      <c r="I663" s="55" t="n">
        <v>46235</v>
      </c>
      <c r="J663" s="84" t="n">
        <v>39.59</v>
      </c>
      <c r="K663" s="57" t="inlineStr">
        <is>
          <t>ATIVA</t>
        </is>
      </c>
      <c r="L663" s="58" t="n">
        <v>46252</v>
      </c>
    </row>
    <row r="664">
      <c r="A664" s="54" t="n">
        <v>212522538</v>
      </c>
      <c r="B664" s="54" t="inlineStr">
        <is>
          <t>VIVO</t>
        </is>
      </c>
      <c r="C664" s="54" t="n">
        <v>15997934285</v>
      </c>
      <c r="D664" s="54" t="n">
        <v>41201</v>
      </c>
      <c r="E664" s="54" t="inlineStr">
        <is>
          <t>BRACELL DUARTINA</t>
        </is>
      </c>
      <c r="F664" s="49" t="inlineStr">
        <is>
          <t>FROTA</t>
        </is>
      </c>
      <c r="G664" s="54" t="inlineStr">
        <is>
          <t>TRA0522</t>
        </is>
      </c>
      <c r="H664" s="49" t="n"/>
      <c r="I664" s="55" t="n">
        <v>46235</v>
      </c>
      <c r="J664" s="84" t="n">
        <v>39.59</v>
      </c>
      <c r="K664" s="57" t="inlineStr">
        <is>
          <t>ATIVA</t>
        </is>
      </c>
      <c r="L664" s="58" t="n">
        <v>46252</v>
      </c>
    </row>
    <row r="665">
      <c r="A665" s="54" t="n">
        <v>212522538</v>
      </c>
      <c r="B665" s="54" t="inlineStr">
        <is>
          <t>VIVO</t>
        </is>
      </c>
      <c r="C665" s="54" t="n">
        <v>15996237494</v>
      </c>
      <c r="D665" s="54" t="n">
        <v>41301</v>
      </c>
      <c r="E665" s="54" t="inlineStr">
        <is>
          <t>SUZANO LENCOIS PAULISTA</t>
        </is>
      </c>
      <c r="F665" s="49" t="inlineStr">
        <is>
          <t>FROTA</t>
        </is>
      </c>
      <c r="G665" s="54" t="inlineStr">
        <is>
          <t>TRA0523</t>
        </is>
      </c>
      <c r="H665" s="49" t="n"/>
      <c r="I665" s="55" t="n">
        <v>46235</v>
      </c>
      <c r="J665" s="84" t="n">
        <v>39.59</v>
      </c>
      <c r="K665" s="57" t="inlineStr">
        <is>
          <t>ATIVA</t>
        </is>
      </c>
      <c r="L665" s="58" t="n">
        <v>46252</v>
      </c>
    </row>
    <row r="666">
      <c r="A666" s="54" t="n">
        <v>212522538</v>
      </c>
      <c r="B666" s="54" t="inlineStr">
        <is>
          <t>VIVO</t>
        </is>
      </c>
      <c r="C666" s="54" t="n">
        <v>51995734464</v>
      </c>
      <c r="D666" s="54" t="n">
        <v>41501</v>
      </c>
      <c r="E666" s="54" t="inlineStr">
        <is>
          <t>C03 - BRACELL ITATINGA</t>
        </is>
      </c>
      <c r="F666" s="49" t="inlineStr">
        <is>
          <t>FROTA</t>
        </is>
      </c>
      <c r="G666" s="54" t="inlineStr">
        <is>
          <t>TRA0524</t>
        </is>
      </c>
      <c r="H666" s="49" t="n"/>
      <c r="I666" s="55" t="n">
        <v>46235</v>
      </c>
      <c r="J666" s="84" t="n">
        <v>39.59</v>
      </c>
      <c r="K666" s="57" t="inlineStr">
        <is>
          <t>ATIVA</t>
        </is>
      </c>
      <c r="L666" s="58" t="n">
        <v>46252</v>
      </c>
    </row>
    <row r="667">
      <c r="A667" s="54" t="n">
        <v>212522538</v>
      </c>
      <c r="B667" s="54" t="inlineStr">
        <is>
          <t>VIVO</t>
        </is>
      </c>
      <c r="C667" s="54" t="n">
        <v>51996888238</v>
      </c>
      <c r="D667" s="54" t="n">
        <v>41501</v>
      </c>
      <c r="E667" s="54" t="inlineStr">
        <is>
          <t>C03 - BRACELL ITATINGA</t>
        </is>
      </c>
      <c r="F667" s="49" t="inlineStr">
        <is>
          <t>FROTA</t>
        </is>
      </c>
      <c r="G667" s="54" t="inlineStr">
        <is>
          <t>TRA0538</t>
        </is>
      </c>
      <c r="H667" s="49" t="n"/>
      <c r="I667" s="55" t="n">
        <v>46235</v>
      </c>
      <c r="J667" s="84" t="n">
        <v>39.59</v>
      </c>
      <c r="K667" s="57" t="inlineStr">
        <is>
          <t>ATIVA</t>
        </is>
      </c>
      <c r="L667" s="58" t="n">
        <v>46252</v>
      </c>
    </row>
    <row r="668">
      <c r="A668" s="54" t="n">
        <v>212522538</v>
      </c>
      <c r="B668" s="54" t="inlineStr">
        <is>
          <t>VIVO</t>
        </is>
      </c>
      <c r="C668" s="54" t="n">
        <v>51997443113</v>
      </c>
      <c r="D668" s="54" t="n">
        <v>41501</v>
      </c>
      <c r="E668" s="54" t="inlineStr">
        <is>
          <t>C03 - BRACELL ITATINGA</t>
        </is>
      </c>
      <c r="F668" s="49" t="inlineStr">
        <is>
          <t>FROTA</t>
        </is>
      </c>
      <c r="G668" s="54" t="inlineStr">
        <is>
          <t>TRA0539</t>
        </is>
      </c>
      <c r="H668" s="49" t="n"/>
      <c r="I668" s="55" t="n">
        <v>46235</v>
      </c>
      <c r="J668" s="84" t="n">
        <v>39.59</v>
      </c>
      <c r="K668" s="57" t="inlineStr">
        <is>
          <t>ATIVA</t>
        </is>
      </c>
      <c r="L668" s="58" t="n">
        <v>46252</v>
      </c>
    </row>
    <row r="669">
      <c r="A669" s="54" t="n">
        <v>212522538</v>
      </c>
      <c r="B669" s="54" t="inlineStr">
        <is>
          <t>VIVO</t>
        </is>
      </c>
      <c r="C669" s="54" t="n">
        <v>15996550968</v>
      </c>
      <c r="D669" s="54" t="n">
        <v>41501</v>
      </c>
      <c r="E669" s="54" t="inlineStr">
        <is>
          <t>C03 - BRACELL ITATINGA</t>
        </is>
      </c>
      <c r="F669" s="49" t="inlineStr">
        <is>
          <t>FROTA</t>
        </is>
      </c>
      <c r="G669" s="54" t="inlineStr">
        <is>
          <t>TRA0540</t>
        </is>
      </c>
      <c r="H669" s="49" t="n"/>
      <c r="I669" s="55" t="n">
        <v>46235</v>
      </c>
      <c r="J669" s="84" t="n">
        <v>39.59</v>
      </c>
      <c r="K669" s="57" t="inlineStr">
        <is>
          <t>ATIVA</t>
        </is>
      </c>
      <c r="L669" s="58" t="n">
        <v>46252</v>
      </c>
    </row>
    <row r="670">
      <c r="A670" s="54" t="n">
        <v>212522538</v>
      </c>
      <c r="B670" s="54" t="inlineStr">
        <is>
          <t>VIVO</t>
        </is>
      </c>
      <c r="C670" s="54" t="n">
        <v>15996331699</v>
      </c>
      <c r="D670" s="54" t="n">
        <v>41501</v>
      </c>
      <c r="E670" s="54" t="inlineStr">
        <is>
          <t>C03 - BRACELL ITATINGA</t>
        </is>
      </c>
      <c r="F670" s="49" t="inlineStr">
        <is>
          <t>FROTA</t>
        </is>
      </c>
      <c r="G670" s="54" t="inlineStr">
        <is>
          <t>TRA0541</t>
        </is>
      </c>
      <c r="H670" s="49" t="n"/>
      <c r="I670" s="55" t="n">
        <v>46235</v>
      </c>
      <c r="J670" s="84" t="n">
        <v>39.59</v>
      </c>
      <c r="K670" s="57" t="inlineStr">
        <is>
          <t>ATIVA</t>
        </is>
      </c>
      <c r="L670" s="58" t="n">
        <v>46252</v>
      </c>
    </row>
    <row r="671">
      <c r="A671" s="54" t="n">
        <v>212522538</v>
      </c>
      <c r="B671" s="54" t="inlineStr">
        <is>
          <t>VIVO</t>
        </is>
      </c>
      <c r="C671" s="54" t="n">
        <v>15997220574</v>
      </c>
      <c r="D671" s="54" t="n">
        <v>41201</v>
      </c>
      <c r="E671" s="54" t="inlineStr">
        <is>
          <t>BRACELL DUARTINA</t>
        </is>
      </c>
      <c r="F671" s="49" t="inlineStr">
        <is>
          <t>FROTA</t>
        </is>
      </c>
      <c r="G671" s="54" t="inlineStr">
        <is>
          <t>TRA0542</t>
        </is>
      </c>
      <c r="H671" s="49" t="n"/>
      <c r="I671" s="55" t="n">
        <v>46235</v>
      </c>
      <c r="J671" s="84" t="n">
        <v>39.59</v>
      </c>
      <c r="K671" s="57" t="inlineStr">
        <is>
          <t>ATIVA</t>
        </is>
      </c>
      <c r="L671" s="58" t="n">
        <v>46252</v>
      </c>
    </row>
    <row r="672">
      <c r="A672" s="54" t="n">
        <v>212522538</v>
      </c>
      <c r="B672" s="54" t="inlineStr">
        <is>
          <t>VIVO</t>
        </is>
      </c>
      <c r="C672" s="54" t="n">
        <v>15996497887</v>
      </c>
      <c r="D672" s="54" t="n">
        <v>41501</v>
      </c>
      <c r="E672" s="54" t="inlineStr">
        <is>
          <t>C03 - BRACELL ITATINGA</t>
        </is>
      </c>
      <c r="F672" s="49" t="inlineStr">
        <is>
          <t>FROTA</t>
        </is>
      </c>
      <c r="G672" s="54" t="inlineStr">
        <is>
          <t>TRA0545</t>
        </is>
      </c>
      <c r="H672" s="49" t="n"/>
      <c r="I672" s="55" t="n">
        <v>46235</v>
      </c>
      <c r="J672" s="84" t="n">
        <v>39.59</v>
      </c>
      <c r="K672" s="57" t="inlineStr">
        <is>
          <t>ATIVA</t>
        </is>
      </c>
      <c r="L672" s="58" t="n">
        <v>46252</v>
      </c>
    </row>
    <row r="673">
      <c r="A673" s="54" t="n">
        <v>212522538</v>
      </c>
      <c r="B673" s="54" t="inlineStr">
        <is>
          <t>VIVO</t>
        </is>
      </c>
      <c r="C673" s="54" t="n">
        <v>15998277341</v>
      </c>
      <c r="D673" s="54" t="n">
        <v>41201</v>
      </c>
      <c r="E673" s="54" t="inlineStr">
        <is>
          <t>BRACELL DUARTINA</t>
        </is>
      </c>
      <c r="F673" s="49" t="inlineStr">
        <is>
          <t>FROTA</t>
        </is>
      </c>
      <c r="G673" s="54" t="inlineStr">
        <is>
          <t>TRA0550</t>
        </is>
      </c>
      <c r="H673" s="49" t="n"/>
      <c r="I673" s="55" t="n">
        <v>46235</v>
      </c>
      <c r="J673" s="84" t="n">
        <v>39.59</v>
      </c>
      <c r="K673" s="57" t="inlineStr">
        <is>
          <t>ATIVA</t>
        </is>
      </c>
      <c r="L673" s="58" t="n">
        <v>46252</v>
      </c>
    </row>
    <row r="674">
      <c r="A674" s="54" t="n">
        <v>212522538</v>
      </c>
      <c r="B674" s="54" t="inlineStr">
        <is>
          <t>VIVO</t>
        </is>
      </c>
      <c r="C674" s="54" t="n">
        <v>15996103584</v>
      </c>
      <c r="D674" s="54" t="n">
        <v>41201</v>
      </c>
      <c r="E674" s="54" t="inlineStr">
        <is>
          <t>BRACELL DUARTINA</t>
        </is>
      </c>
      <c r="F674" s="49" t="inlineStr">
        <is>
          <t>FROTA</t>
        </is>
      </c>
      <c r="G674" s="54" t="inlineStr">
        <is>
          <t>TRA0553</t>
        </is>
      </c>
      <c r="H674" s="49" t="n"/>
      <c r="I674" s="55" t="n">
        <v>46235</v>
      </c>
      <c r="J674" s="84" t="n">
        <v>39.59</v>
      </c>
      <c r="K674" s="57" t="inlineStr">
        <is>
          <t>ATIVA</t>
        </is>
      </c>
      <c r="L674" s="58" t="n">
        <v>46252</v>
      </c>
    </row>
    <row r="675">
      <c r="A675" s="54" t="n">
        <v>212522538</v>
      </c>
      <c r="B675" s="54" t="inlineStr">
        <is>
          <t>VIVO</t>
        </is>
      </c>
      <c r="C675" s="54" t="n">
        <v>15996567582</v>
      </c>
      <c r="D675" s="54" t="n">
        <v>41201</v>
      </c>
      <c r="E675" s="54" t="inlineStr">
        <is>
          <t>BRACELL DUARTINA</t>
        </is>
      </c>
      <c r="F675" s="49" t="inlineStr">
        <is>
          <t>FROTA</t>
        </is>
      </c>
      <c r="G675" s="54" t="inlineStr">
        <is>
          <t>TRA0556</t>
        </is>
      </c>
      <c r="H675" s="49" t="n"/>
      <c r="I675" s="55" t="n">
        <v>46235</v>
      </c>
      <c r="J675" s="84" t="n">
        <v>39.59</v>
      </c>
      <c r="K675" s="57" t="inlineStr">
        <is>
          <t>ATIVA</t>
        </is>
      </c>
      <c r="L675" s="58" t="n">
        <v>46252</v>
      </c>
    </row>
    <row r="676">
      <c r="A676" s="54" t="n">
        <v>212522538</v>
      </c>
      <c r="B676" s="54" t="inlineStr">
        <is>
          <t>VIVO</t>
        </is>
      </c>
      <c r="C676" s="54" t="n">
        <v>15996765857</v>
      </c>
      <c r="D676" s="54" t="n">
        <v>41501</v>
      </c>
      <c r="E676" s="54" t="inlineStr">
        <is>
          <t>C03 - BRACELL ITATINGA</t>
        </is>
      </c>
      <c r="F676" s="49" t="inlineStr">
        <is>
          <t>FROTA</t>
        </is>
      </c>
      <c r="G676" s="54" t="inlineStr">
        <is>
          <t>TRA0569</t>
        </is>
      </c>
      <c r="H676" s="49" t="n"/>
      <c r="I676" s="55" t="n">
        <v>46235</v>
      </c>
      <c r="J676" s="84" t="n">
        <v>39.59</v>
      </c>
      <c r="K676" s="57" t="inlineStr">
        <is>
          <t>ATIVA</t>
        </is>
      </c>
      <c r="L676" s="58" t="n">
        <v>46252</v>
      </c>
    </row>
    <row r="677">
      <c r="A677" s="54" t="n">
        <v>212522538</v>
      </c>
      <c r="B677" s="54" t="inlineStr">
        <is>
          <t>VIVO</t>
        </is>
      </c>
      <c r="C677" s="54" t="n">
        <v>15996763272</v>
      </c>
      <c r="D677" s="54" t="n">
        <v>42401</v>
      </c>
      <c r="E677" s="54" t="inlineStr">
        <is>
          <t>SUZANO SMA</t>
        </is>
      </c>
      <c r="F677" s="49" t="inlineStr">
        <is>
          <t>FROTA</t>
        </is>
      </c>
      <c r="G677" s="54" t="inlineStr">
        <is>
          <t>TRA432</t>
        </is>
      </c>
      <c r="H677" s="49" t="n"/>
      <c r="I677" s="55" t="n">
        <v>46235</v>
      </c>
      <c r="J677" s="84" t="n">
        <v>39.59</v>
      </c>
      <c r="K677" s="57" t="inlineStr">
        <is>
          <t>ATIVA</t>
        </is>
      </c>
      <c r="L677" s="58" t="n">
        <v>46252</v>
      </c>
    </row>
    <row r="678">
      <c r="A678" s="54" t="n">
        <v>212522538</v>
      </c>
      <c r="B678" s="54" t="inlineStr">
        <is>
          <t>VIVO</t>
        </is>
      </c>
      <c r="C678" s="54" t="n">
        <v>51995283222</v>
      </c>
      <c r="D678" s="54" t="n">
        <v>53290</v>
      </c>
      <c r="E678" s="54" t="inlineStr">
        <is>
          <t>C08 - CMPC SAO GABRIEL MECANIZADO</t>
        </is>
      </c>
      <c r="F678" s="49" t="inlineStr">
        <is>
          <t>410100594</t>
        </is>
      </c>
      <c r="G678" s="54" t="inlineStr">
        <is>
          <t>UILIAN LIMA LEOCADIO</t>
        </is>
      </c>
      <c r="H678" s="49" t="inlineStr">
        <is>
          <t>03366463058</t>
        </is>
      </c>
      <c r="I678" s="55" t="n">
        <v>46235</v>
      </c>
      <c r="J678" s="84" t="n">
        <v>39.59</v>
      </c>
      <c r="K678" s="57" t="inlineStr">
        <is>
          <t>ATIVA</t>
        </is>
      </c>
      <c r="L678" s="58" t="n">
        <v>46252</v>
      </c>
    </row>
    <row r="679">
      <c r="A679" s="54" t="n">
        <v>212522538</v>
      </c>
      <c r="B679" s="54" t="inlineStr">
        <is>
          <t>VIVO</t>
        </is>
      </c>
      <c r="C679" s="54" t="n">
        <v>67999137406</v>
      </c>
      <c r="D679" s="54" t="inlineStr">
        <is>
          <t>32301</t>
        </is>
      </c>
      <c r="E679" s="54" t="inlineStr">
        <is>
          <t>C07 - SUZANO MANUTENCAO TRES LAGOAS</t>
        </is>
      </c>
      <c r="F679" s="49" t="inlineStr">
        <is>
          <t>210106735</t>
        </is>
      </c>
      <c r="G679" s="54" t="inlineStr">
        <is>
          <t>VALCIR FONSECA</t>
        </is>
      </c>
      <c r="H679" s="49" t="inlineStr">
        <is>
          <t>46472045100</t>
        </is>
      </c>
      <c r="I679" s="55" t="n">
        <v>46235</v>
      </c>
      <c r="J679" s="84" t="n">
        <v>39.59</v>
      </c>
      <c r="K679" s="57" t="inlineStr">
        <is>
          <t>ATIVA</t>
        </is>
      </c>
      <c r="L679" s="58" t="n">
        <v>46252</v>
      </c>
    </row>
    <row r="680">
      <c r="A680" s="54" t="n">
        <v>212522538</v>
      </c>
      <c r="B680" s="54" t="inlineStr">
        <is>
          <t>VIVO</t>
        </is>
      </c>
      <c r="C680" s="54" t="n">
        <v>15997699576</v>
      </c>
      <c r="D680" s="54" t="inlineStr">
        <is>
          <t>41201</t>
        </is>
      </c>
      <c r="E680" s="54" t="inlineStr">
        <is>
          <t>C05 - BRACELL DUARTINA</t>
        </is>
      </c>
      <c r="F680" s="49" t="inlineStr">
        <is>
          <t>010318658</t>
        </is>
      </c>
      <c r="G680" s="54" t="inlineStr">
        <is>
          <t>VALCIR MENDES DA SILVA</t>
        </is>
      </c>
      <c r="H680" s="49" t="inlineStr">
        <is>
          <t>00820189952</t>
        </is>
      </c>
      <c r="I680" s="55" t="n">
        <v>46235</v>
      </c>
      <c r="J680" s="84" t="n">
        <v>39.59</v>
      </c>
      <c r="K680" s="57" t="inlineStr">
        <is>
          <t>ATIVA</t>
        </is>
      </c>
      <c r="L680" s="58" t="n">
        <v>46252</v>
      </c>
    </row>
    <row r="681">
      <c r="A681" s="54" t="n">
        <v>212522538</v>
      </c>
      <c r="B681" s="54" t="inlineStr">
        <is>
          <t>VIVO</t>
        </is>
      </c>
      <c r="C681" s="54" t="n">
        <v>15998348225</v>
      </c>
      <c r="D681" s="54" t="inlineStr">
        <is>
          <t>32701</t>
        </is>
      </c>
      <c r="E681" s="54" t="inlineStr">
        <is>
          <t>C03 - BRACELL DOURADO</t>
        </is>
      </c>
      <c r="F681" s="49" t="inlineStr">
        <is>
          <t>210102802</t>
        </is>
      </c>
      <c r="G681" s="54" t="inlineStr">
        <is>
          <t>VALMIR CARDOSO NASCIMENTO</t>
        </is>
      </c>
      <c r="H681" s="49" t="inlineStr">
        <is>
          <t>09468322777</t>
        </is>
      </c>
      <c r="I681" s="55" t="n">
        <v>46235</v>
      </c>
      <c r="J681" s="84" t="n">
        <v>39.59</v>
      </c>
      <c r="K681" s="57" t="inlineStr">
        <is>
          <t>ATIVA</t>
        </is>
      </c>
      <c r="L681" s="58" t="n">
        <v>46252</v>
      </c>
    </row>
    <row r="682">
      <c r="A682" s="54" t="n">
        <v>212522538</v>
      </c>
      <c r="B682" s="54" t="inlineStr">
        <is>
          <t>VIVO</t>
        </is>
      </c>
      <c r="C682" s="54" t="n">
        <v>67996649211</v>
      </c>
      <c r="D682" s="54" t="inlineStr">
        <is>
          <t>32701</t>
        </is>
      </c>
      <c r="E682" s="54" t="inlineStr">
        <is>
          <t>C01 - SUZANO PLANTIO AGUA CLARA</t>
        </is>
      </c>
      <c r="F682" s="49" t="inlineStr">
        <is>
          <t>210102802</t>
        </is>
      </c>
      <c r="G682" s="54" t="inlineStr">
        <is>
          <t>VALMIR CARDOSO NASCIMENTO</t>
        </is>
      </c>
      <c r="H682" s="49" t="inlineStr">
        <is>
          <t>09468322777</t>
        </is>
      </c>
      <c r="I682" s="55" t="n">
        <v>46235</v>
      </c>
      <c r="J682" s="84" t="n">
        <v>39.59</v>
      </c>
      <c r="K682" s="57" t="inlineStr">
        <is>
          <t>ATIVA</t>
        </is>
      </c>
      <c r="L682" s="58" t="n">
        <v>46252</v>
      </c>
    </row>
    <row r="683">
      <c r="A683" s="54" t="n">
        <v>212522538</v>
      </c>
      <c r="B683" s="54" t="inlineStr">
        <is>
          <t>VIVO</t>
        </is>
      </c>
      <c r="C683" s="54" t="n">
        <v>67998595076</v>
      </c>
      <c r="D683" s="54" t="inlineStr">
        <is>
          <t>32701</t>
        </is>
      </c>
      <c r="E683" s="54" t="inlineStr">
        <is>
          <t>C01 - SUZANO PLANTIO AGUA CLARA</t>
        </is>
      </c>
      <c r="F683" s="49" t="inlineStr">
        <is>
          <t>210102802</t>
        </is>
      </c>
      <c r="G683" s="54" t="inlineStr">
        <is>
          <t>VALMIR CARDOSO NASCIMENTO</t>
        </is>
      </c>
      <c r="H683" s="49" t="inlineStr">
        <is>
          <t>09468322777</t>
        </is>
      </c>
      <c r="I683" s="55" t="n">
        <v>46235</v>
      </c>
      <c r="J683" s="84" t="n">
        <v>54.63</v>
      </c>
      <c r="K683" s="57" t="inlineStr">
        <is>
          <t>ATIVA</t>
        </is>
      </c>
      <c r="L683" s="58" t="n">
        <v>46252</v>
      </c>
    </row>
    <row r="684">
      <c r="A684" s="54" t="n">
        <v>212522538</v>
      </c>
      <c r="B684" s="54" t="inlineStr">
        <is>
          <t>VIVO</t>
        </is>
      </c>
      <c r="C684" s="54" t="n">
        <v>15998126581</v>
      </c>
      <c r="D684" s="54" t="inlineStr">
        <is>
          <t>11</t>
        </is>
      </c>
      <c r="E684" s="54" t="inlineStr">
        <is>
          <t>CONTROLADORIA</t>
        </is>
      </c>
      <c r="F684" s="49" t="inlineStr">
        <is>
          <t>010519778</t>
        </is>
      </c>
      <c r="G684" s="54" t="inlineStr">
        <is>
          <t>VANESSA SUDARIO DOS SANTOS</t>
        </is>
      </c>
      <c r="H684" s="49" t="inlineStr">
        <is>
          <t>48140262854</t>
        </is>
      </c>
      <c r="I684" s="55" t="n">
        <v>46235</v>
      </c>
      <c r="J684" s="84" t="n">
        <v>39.59</v>
      </c>
      <c r="K684" s="57" t="inlineStr">
        <is>
          <t>ATIVA</t>
        </is>
      </c>
      <c r="L684" s="58" t="n">
        <v>46252</v>
      </c>
    </row>
    <row r="685">
      <c r="A685" s="54" t="n">
        <v>212522538</v>
      </c>
      <c r="B685" s="54" t="inlineStr">
        <is>
          <t>VIVO</t>
        </is>
      </c>
      <c r="C685" s="54" t="n">
        <v>15998089463</v>
      </c>
      <c r="D685" s="54" t="inlineStr">
        <is>
          <t>2150</t>
        </is>
      </c>
      <c r="E685" s="54" t="inlineStr">
        <is>
          <t>SSMA PR1</t>
        </is>
      </c>
      <c r="F685" s="49" t="inlineStr">
        <is>
          <t>701003095</t>
        </is>
      </c>
      <c r="G685" s="54" t="inlineStr">
        <is>
          <t>VERONICA DA SILVA</t>
        </is>
      </c>
      <c r="H685" s="49" t="inlineStr">
        <is>
          <t>12709771993</t>
        </is>
      </c>
      <c r="I685" s="55" t="n">
        <v>46235</v>
      </c>
      <c r="J685" s="84" t="n">
        <v>39.59</v>
      </c>
      <c r="K685" s="57" t="inlineStr">
        <is>
          <t>ATIVA</t>
        </is>
      </c>
      <c r="L685" s="58" t="n">
        <v>46252</v>
      </c>
    </row>
    <row r="686">
      <c r="A686" s="54" t="n">
        <v>212522538</v>
      </c>
      <c r="B686" s="54" t="inlineStr">
        <is>
          <t>VIVO</t>
        </is>
      </c>
      <c r="C686" s="54" t="n">
        <v>51998212626</v>
      </c>
      <c r="D686" s="54" t="inlineStr">
        <is>
          <t>53201</t>
        </is>
      </c>
      <c r="E686" s="54" t="inlineStr">
        <is>
          <t>C08 - CMPC SAO GABRIEL MANUAL</t>
        </is>
      </c>
      <c r="F686" s="49" t="inlineStr">
        <is>
          <t>410100750</t>
        </is>
      </c>
      <c r="G686" s="54" t="inlineStr">
        <is>
          <t>VICENTE DE CASTRO FONSECA</t>
        </is>
      </c>
      <c r="H686" s="49" t="inlineStr">
        <is>
          <t>02374249085</t>
        </is>
      </c>
      <c r="I686" s="55" t="n">
        <v>46235</v>
      </c>
      <c r="J686" s="84" t="n">
        <v>39.59</v>
      </c>
      <c r="K686" s="57" t="inlineStr">
        <is>
          <t>ATIVA</t>
        </is>
      </c>
      <c r="L686" s="58" t="n">
        <v>46252</v>
      </c>
    </row>
    <row r="687">
      <c r="A687" s="54" t="n">
        <v>212522538</v>
      </c>
      <c r="B687" s="54" t="inlineStr">
        <is>
          <t>VIVO</t>
        </is>
      </c>
      <c r="C687" s="54" t="n">
        <v>51996187953</v>
      </c>
      <c r="D687" s="54" t="inlineStr">
        <is>
          <t>53201</t>
        </is>
      </c>
      <c r="E687" s="54" t="inlineStr">
        <is>
          <t>C08 - CMPC SAO GABRIEL MANUAL</t>
        </is>
      </c>
      <c r="F687" s="49" t="inlineStr">
        <is>
          <t>410100325</t>
        </is>
      </c>
      <c r="G687" s="54" t="inlineStr">
        <is>
          <t>VICTOR VIVIAN FERREIRA</t>
        </is>
      </c>
      <c r="H687" s="49" t="inlineStr">
        <is>
          <t>00886982030</t>
        </is>
      </c>
      <c r="I687" s="55" t="n">
        <v>46235</v>
      </c>
      <c r="J687" s="84" t="n">
        <v>39.59</v>
      </c>
      <c r="K687" s="57" t="inlineStr">
        <is>
          <t>ATIVA</t>
        </is>
      </c>
      <c r="L687" s="58" t="n">
        <v>46252</v>
      </c>
    </row>
    <row r="688">
      <c r="A688" s="54" t="n">
        <v>212522538</v>
      </c>
      <c r="B688" s="54" t="inlineStr">
        <is>
          <t>VIVO</t>
        </is>
      </c>
      <c r="C688" s="54" t="n">
        <v>67998749966</v>
      </c>
      <c r="D688" s="54" t="inlineStr">
        <is>
          <t>428</t>
        </is>
      </c>
      <c r="E688" s="54" t="inlineStr">
        <is>
          <t>QUALIDADE SP2</t>
        </is>
      </c>
      <c r="F688" s="49" t="inlineStr">
        <is>
          <t>010316452</t>
        </is>
      </c>
      <c r="G688" s="54" t="inlineStr">
        <is>
          <t>VINICIUS FELIPE DO AMARAL ALMEIDA</t>
        </is>
      </c>
      <c r="H688" s="49" t="inlineStr">
        <is>
          <t>42704050821</t>
        </is>
      </c>
      <c r="I688" s="55" t="n">
        <v>46235</v>
      </c>
      <c r="J688" s="84" t="n">
        <v>54.63</v>
      </c>
      <c r="K688" s="57" t="inlineStr">
        <is>
          <t>ATIVA</t>
        </is>
      </c>
      <c r="L688" s="58" t="n">
        <v>46252</v>
      </c>
    </row>
    <row r="689">
      <c r="A689" s="54" t="inlineStr">
        <is>
          <t>71768171</t>
        </is>
      </c>
      <c r="B689" s="54" t="inlineStr">
        <is>
          <t>TIM</t>
        </is>
      </c>
      <c r="C689" s="54" t="inlineStr">
        <is>
          <t>15981840257</t>
        </is>
      </c>
      <c r="D689" s="54" t="inlineStr">
        <is>
          <t>51200</t>
        </is>
      </c>
      <c r="E689" s="54" t="inlineStr">
        <is>
          <t>GESTAO OP IBAITI</t>
        </is>
      </c>
      <c r="F689" s="49" t="n"/>
      <c r="G689" s="54" t="inlineStr">
        <is>
          <t>VINICIUS PLIXO CORREA</t>
        </is>
      </c>
      <c r="H689" s="49" t="inlineStr">
        <is>
          <t>38219223898</t>
        </is>
      </c>
      <c r="I689" s="55" t="n">
        <v>46235</v>
      </c>
      <c r="J689" s="84" t="n">
        <v>38</v>
      </c>
      <c r="K689" s="57" t="inlineStr">
        <is>
          <t>ATIVA</t>
        </is>
      </c>
      <c r="L689" s="58" t="n">
        <v>46252</v>
      </c>
    </row>
    <row r="690">
      <c r="A690" s="54" t="n">
        <v>212522538</v>
      </c>
      <c r="B690" s="54" t="inlineStr">
        <is>
          <t>VIVO</t>
        </is>
      </c>
      <c r="C690" s="54" t="n">
        <v>15998156648</v>
      </c>
      <c r="D690" s="54" t="inlineStr">
        <is>
          <t>428</t>
        </is>
      </c>
      <c r="E690" s="54" t="inlineStr">
        <is>
          <t>QUALIDADE SP2</t>
        </is>
      </c>
      <c r="F690" s="49" t="inlineStr">
        <is>
          <t>010316452</t>
        </is>
      </c>
      <c r="G690" s="54" t="inlineStr">
        <is>
          <t>VINICIUS FELIPE DO AMARAL ALMEIDA</t>
        </is>
      </c>
      <c r="H690" s="49" t="inlineStr">
        <is>
          <t>42704050821</t>
        </is>
      </c>
      <c r="I690" s="55" t="n">
        <v>46235</v>
      </c>
      <c r="J690" s="84" t="n">
        <v>39.59</v>
      </c>
      <c r="K690" s="57" t="inlineStr">
        <is>
          <t>ATIVA</t>
        </is>
      </c>
      <c r="L690" s="58" t="n">
        <v>46252</v>
      </c>
    </row>
    <row r="691">
      <c r="A691" s="54" t="n">
        <v>212522538</v>
      </c>
      <c r="B691" s="54" t="inlineStr">
        <is>
          <t>VIVO</t>
        </is>
      </c>
      <c r="C691" s="70" t="n">
        <v>15997918033</v>
      </c>
      <c r="D691" s="54" t="n">
        <v>71301</v>
      </c>
      <c r="E691" s="54" t="inlineStr">
        <is>
          <t>P04 - PLANTADEIRA AUTOMATICA JOHN DEERE</t>
        </is>
      </c>
      <c r="F691" s="54" t="inlineStr">
        <is>
          <t>010320637</t>
        </is>
      </c>
      <c r="G691" s="54" t="inlineStr">
        <is>
          <t>VITOR EMANUEL ANTUNES MACHADO</t>
        </is>
      </c>
      <c r="H691" s="49" t="inlineStr">
        <is>
          <t>43720596800</t>
        </is>
      </c>
      <c r="I691" s="55" t="n">
        <v>46235</v>
      </c>
      <c r="J691" s="84" t="n">
        <v>49.13</v>
      </c>
      <c r="K691" s="54" t="inlineStr">
        <is>
          <t>ATIVA</t>
        </is>
      </c>
      <c r="L691" s="58" t="n">
        <v>46252</v>
      </c>
    </row>
    <row r="692">
      <c r="A692" s="54" t="n">
        <v>212522538</v>
      </c>
      <c r="B692" s="54" t="inlineStr">
        <is>
          <t>VIVO</t>
        </is>
      </c>
      <c r="C692" s="54" t="n">
        <v>15998047855</v>
      </c>
      <c r="D692" s="54" t="inlineStr">
        <is>
          <t>41500</t>
        </is>
      </c>
      <c r="E692" s="54" t="inlineStr">
        <is>
          <t>GESTAO OP BRACELL ITATINGA</t>
        </is>
      </c>
      <c r="F692" s="49" t="inlineStr">
        <is>
          <t>010319144</t>
        </is>
      </c>
      <c r="G692" s="54" t="inlineStr">
        <is>
          <t>WAGNER ROBERTO FARIAS DE SANTANA</t>
        </is>
      </c>
      <c r="H692" s="49" t="inlineStr">
        <is>
          <t>37818974865</t>
        </is>
      </c>
      <c r="I692" s="55" t="n">
        <v>46235</v>
      </c>
      <c r="J692" s="84" t="n">
        <v>39.59</v>
      </c>
      <c r="K692" s="57" t="inlineStr">
        <is>
          <t>ATIVA</t>
        </is>
      </c>
      <c r="L692" s="58" t="n">
        <v>46252</v>
      </c>
    </row>
    <row r="693">
      <c r="A693" s="54" t="n">
        <v>212522538</v>
      </c>
      <c r="B693" s="54" t="inlineStr">
        <is>
          <t>VIVO</t>
        </is>
      </c>
      <c r="C693" s="54" t="n">
        <v>67996222074</v>
      </c>
      <c r="D693" s="54" t="inlineStr">
        <is>
          <t>2120</t>
        </is>
      </c>
      <c r="E693" s="54" t="inlineStr">
        <is>
          <t>SSMA MS1</t>
        </is>
      </c>
      <c r="F693" s="49" t="inlineStr">
        <is>
          <t>210106914</t>
        </is>
      </c>
      <c r="G693" s="54" t="inlineStr">
        <is>
          <t>WALKIRIA ZONTA DE OLIVEIRA</t>
        </is>
      </c>
      <c r="H693" s="49" t="inlineStr">
        <is>
          <t>45906619852</t>
        </is>
      </c>
      <c r="I693" s="55" t="n">
        <v>46235</v>
      </c>
      <c r="J693" s="84" t="n">
        <v>54.63</v>
      </c>
      <c r="K693" s="57" t="inlineStr">
        <is>
          <t>ATIVA</t>
        </is>
      </c>
      <c r="L693" s="58" t="n">
        <v>46252</v>
      </c>
    </row>
    <row r="694">
      <c r="A694" s="54" t="n">
        <v>212522538</v>
      </c>
      <c r="B694" s="54" t="inlineStr">
        <is>
          <t>VIVO</t>
        </is>
      </c>
      <c r="C694" s="54" t="n">
        <v>15996098197</v>
      </c>
      <c r="D694" s="54" t="n">
        <v>42201</v>
      </c>
      <c r="E694" s="54" t="inlineStr">
        <is>
          <t>C04 - SUZANO SANTA BRANCA</t>
        </is>
      </c>
      <c r="F694" s="62" t="inlineStr">
        <is>
          <t>010422504</t>
        </is>
      </c>
      <c r="G694" s="54" t="inlineStr">
        <is>
          <t>WALTER LUIZ PEREIRA NETO</t>
        </is>
      </c>
      <c r="H694" s="49" t="inlineStr">
        <is>
          <t>34056921806</t>
        </is>
      </c>
      <c r="I694" s="55" t="n">
        <v>46235</v>
      </c>
      <c r="J694" s="84" t="n">
        <v>39.59</v>
      </c>
      <c r="K694" s="57" t="inlineStr">
        <is>
          <t>ATIVA</t>
        </is>
      </c>
      <c r="L694" s="58" t="n">
        <v>46252</v>
      </c>
    </row>
    <row r="695">
      <c r="A695" s="54" t="n">
        <v>212522538</v>
      </c>
      <c r="B695" s="54" t="inlineStr">
        <is>
          <t>VIVO</t>
        </is>
      </c>
      <c r="C695" s="54" t="n">
        <v>15997886799</v>
      </c>
      <c r="D695" s="54" t="inlineStr">
        <is>
          <t>41301</t>
        </is>
      </c>
      <c r="E695" s="54" t="inlineStr">
        <is>
          <t>C05 - SUZANO LENCOIS PAULISTA</t>
        </is>
      </c>
      <c r="F695" s="49" t="inlineStr">
        <is>
          <t>010320747</t>
        </is>
      </c>
      <c r="G695" s="54" t="inlineStr">
        <is>
          <t>WANDERSON JOHNNY CAMPOS</t>
        </is>
      </c>
      <c r="H695" s="49" t="inlineStr">
        <is>
          <t>60275393305</t>
        </is>
      </c>
      <c r="I695" s="55" t="n">
        <v>46235</v>
      </c>
      <c r="J695" s="84" t="n">
        <v>39.59</v>
      </c>
      <c r="K695" s="57" t="inlineStr">
        <is>
          <t>ATIVA</t>
        </is>
      </c>
      <c r="L695" s="58" t="n">
        <v>46252</v>
      </c>
    </row>
    <row r="696">
      <c r="A696" s="54" t="n">
        <v>212522538</v>
      </c>
      <c r="B696" s="54" t="inlineStr">
        <is>
          <t>VIVO</t>
        </is>
      </c>
      <c r="C696" s="54" t="n">
        <v>15998218883</v>
      </c>
      <c r="D696" s="54" t="inlineStr">
        <is>
          <t>41301</t>
        </is>
      </c>
      <c r="E696" s="54" t="inlineStr">
        <is>
          <t>C05 - SUZANO LENCOIS PAULISTA</t>
        </is>
      </c>
      <c r="F696" s="49" t="inlineStr">
        <is>
          <t>010320747</t>
        </is>
      </c>
      <c r="G696" s="54" t="inlineStr">
        <is>
          <t>WANDERSON JOHNNY CAMPOS</t>
        </is>
      </c>
      <c r="H696" s="49" t="inlineStr">
        <is>
          <t>60275393305</t>
        </is>
      </c>
      <c r="I696" s="55" t="n">
        <v>46235</v>
      </c>
      <c r="J696" s="84" t="n">
        <v>39.59</v>
      </c>
      <c r="K696" s="57" t="inlineStr">
        <is>
          <t>ATIVA</t>
        </is>
      </c>
      <c r="L696" s="58" t="n">
        <v>46252</v>
      </c>
    </row>
    <row r="697">
      <c r="A697" s="54" t="inlineStr">
        <is>
          <t>71768171</t>
        </is>
      </c>
      <c r="B697" s="54" t="inlineStr">
        <is>
          <t>TIM</t>
        </is>
      </c>
      <c r="C697" s="54" t="inlineStr">
        <is>
          <t>15981574936</t>
        </is>
      </c>
      <c r="D697" s="54" t="n">
        <v>41401</v>
      </c>
      <c r="E697" s="54" t="inlineStr">
        <is>
          <t>C03 - BRACELL DOURADO</t>
        </is>
      </c>
      <c r="F697" s="49" t="n"/>
      <c r="G697" s="54" t="inlineStr">
        <is>
          <t>WAYNE FERNANDA DOS SANTOS</t>
        </is>
      </c>
      <c r="H697" s="49" t="inlineStr">
        <is>
          <t>11569516901</t>
        </is>
      </c>
      <c r="I697" s="55" t="n">
        <v>46235</v>
      </c>
      <c r="J697" s="84" t="n">
        <v>35</v>
      </c>
      <c r="K697" s="54" t="inlineStr">
        <is>
          <t>ATIVA</t>
        </is>
      </c>
      <c r="L697" s="58" t="n">
        <v>46252</v>
      </c>
    </row>
    <row r="698">
      <c r="A698" s="54" t="n">
        <v>212522538</v>
      </c>
      <c r="B698" s="54" t="inlineStr">
        <is>
          <t>VIVO</t>
        </is>
      </c>
      <c r="C698" s="54" t="n">
        <v>15998227082</v>
      </c>
      <c r="D698" s="54" t="inlineStr">
        <is>
          <t>32200</t>
        </is>
      </c>
      <c r="E698" s="54" t="inlineStr">
        <is>
          <t>GESTAO OP AGUA CLARA</t>
        </is>
      </c>
      <c r="F698" s="49" t="inlineStr">
        <is>
          <t>210106399</t>
        </is>
      </c>
      <c r="G698" s="54" t="inlineStr">
        <is>
          <t>WATILA OLIVEIRA SOUZA</t>
        </is>
      </c>
      <c r="H698" s="49" t="inlineStr">
        <is>
          <t>09191377501</t>
        </is>
      </c>
      <c r="I698" s="55" t="n">
        <v>46235</v>
      </c>
      <c r="J698" s="84" t="n">
        <v>39.59</v>
      </c>
      <c r="K698" s="57" t="inlineStr">
        <is>
          <t>ATIVA</t>
        </is>
      </c>
      <c r="L698" s="58" t="n">
        <v>46252</v>
      </c>
    </row>
    <row r="699">
      <c r="A699" s="54" t="n">
        <v>212522538</v>
      </c>
      <c r="B699" s="54" t="inlineStr">
        <is>
          <t>VIVO</t>
        </is>
      </c>
      <c r="C699" s="54" t="n">
        <v>15996134452</v>
      </c>
      <c r="D699" s="54" t="inlineStr">
        <is>
          <t>42501</t>
        </is>
      </c>
      <c r="E699" s="54" t="inlineStr">
        <is>
          <t>C02 - BRACELL CBO</t>
        </is>
      </c>
      <c r="F699" s="49" t="inlineStr">
        <is>
          <t>010219609</t>
        </is>
      </c>
      <c r="G699" s="54" t="inlineStr">
        <is>
          <t>WELLINGTON HENRIQUE DE OLIVEIRA SANTOS</t>
        </is>
      </c>
      <c r="H699" s="49" t="inlineStr">
        <is>
          <t>46165973833</t>
        </is>
      </c>
      <c r="I699" s="55" t="n">
        <v>46235</v>
      </c>
      <c r="J699" s="84" t="n">
        <v>39.59</v>
      </c>
      <c r="K699" s="57" t="inlineStr">
        <is>
          <t>ATIVA</t>
        </is>
      </c>
      <c r="L699" s="58" t="n">
        <v>46252</v>
      </c>
    </row>
    <row r="700">
      <c r="A700" s="54" t="inlineStr">
        <is>
          <t>71768171</t>
        </is>
      </c>
      <c r="B700" s="54" t="inlineStr">
        <is>
          <t>TIM</t>
        </is>
      </c>
      <c r="C700" s="54" t="inlineStr">
        <is>
          <t>15981580169</t>
        </is>
      </c>
      <c r="D700" s="54" t="inlineStr">
        <is>
          <t>10</t>
        </is>
      </c>
      <c r="E700" s="54" t="inlineStr">
        <is>
          <t>RECURSOS HUMANOS</t>
        </is>
      </c>
      <c r="F700" s="49" t="n"/>
      <c r="G700" s="54" t="inlineStr">
        <is>
          <t>WENDY DE OLIVEIRA MACHADO SILVA</t>
        </is>
      </c>
      <c r="H700" s="49" t="inlineStr">
        <is>
          <t>10968837913</t>
        </is>
      </c>
      <c r="I700" s="55" t="n">
        <v>46235</v>
      </c>
      <c r="J700" s="84" t="n">
        <v>38.2</v>
      </c>
      <c r="K700" s="54" t="inlineStr">
        <is>
          <t>DESLIGADO</t>
        </is>
      </c>
      <c r="L700" s="58" t="n">
        <v>46252</v>
      </c>
    </row>
    <row r="701">
      <c r="A701" s="54" t="n">
        <v>212522538</v>
      </c>
      <c r="B701" s="54" t="inlineStr">
        <is>
          <t>VIVO</t>
        </is>
      </c>
      <c r="C701" s="54" t="n">
        <v>15996254505</v>
      </c>
      <c r="D701" s="54" t="inlineStr">
        <is>
          <t>2132</t>
        </is>
      </c>
      <c r="E701" s="54" t="inlineStr">
        <is>
          <t>SSMA SUZANO LPTA</t>
        </is>
      </c>
      <c r="F701" s="49" t="inlineStr">
        <is>
          <t>010320806</t>
        </is>
      </c>
      <c r="G701" s="54" t="inlineStr">
        <is>
          <t>WESLEY CRISTIANO DE SOUZA</t>
        </is>
      </c>
      <c r="H701" s="49" t="inlineStr">
        <is>
          <t>34857694875</t>
        </is>
      </c>
      <c r="I701" s="55" t="n">
        <v>46235</v>
      </c>
      <c r="J701" s="84" t="n">
        <v>39.59</v>
      </c>
      <c r="K701" s="73" t="inlineStr">
        <is>
          <t>ATIVA</t>
        </is>
      </c>
      <c r="L701" s="58" t="n">
        <v>46252</v>
      </c>
    </row>
    <row r="702">
      <c r="A702" s="54" t="inlineStr">
        <is>
          <t>71768171</t>
        </is>
      </c>
      <c r="B702" s="54" t="inlineStr">
        <is>
          <t>TIM</t>
        </is>
      </c>
      <c r="C702" s="54" t="inlineStr">
        <is>
          <t>15981520045</t>
        </is>
      </c>
      <c r="D702" s="54" t="inlineStr">
        <is>
          <t>510</t>
        </is>
      </c>
      <c r="E702" s="54" t="inlineStr">
        <is>
          <t>GESTAO OP PR2</t>
        </is>
      </c>
      <c r="F702" s="49" t="n"/>
      <c r="G702" s="54" t="inlineStr">
        <is>
          <t>Wesley Moreno</t>
        </is>
      </c>
      <c r="H702" s="49" t="n"/>
      <c r="I702" s="55" t="n">
        <v>46235</v>
      </c>
      <c r="J702" s="84" t="n">
        <v>35</v>
      </c>
      <c r="K702" s="54" t="inlineStr">
        <is>
          <t>VERIFICAR</t>
        </is>
      </c>
      <c r="L702" s="58" t="n">
        <v>46252</v>
      </c>
    </row>
    <row r="703">
      <c r="A703" s="54" t="n">
        <v>212522538</v>
      </c>
      <c r="B703" s="54" t="inlineStr">
        <is>
          <t>VIVO</t>
        </is>
      </c>
      <c r="C703" s="54" t="n">
        <v>15997365032</v>
      </c>
      <c r="D703" s="54" t="inlineStr">
        <is>
          <t>32201</t>
        </is>
      </c>
      <c r="E703" s="54" t="inlineStr">
        <is>
          <t>C01 - SUZANO MANUTENCAO AGUA CLARA</t>
        </is>
      </c>
      <c r="F703" s="49" t="inlineStr">
        <is>
          <t>210104027</t>
        </is>
      </c>
      <c r="G703" s="54" t="inlineStr">
        <is>
          <t>WESLEY ROLEMBERG</t>
        </is>
      </c>
      <c r="H703" s="49" t="inlineStr">
        <is>
          <t>86124978172</t>
        </is>
      </c>
      <c r="I703" s="55" t="n">
        <v>46235</v>
      </c>
      <c r="J703" s="84" t="n">
        <v>39.59</v>
      </c>
      <c r="K703" s="57" t="inlineStr">
        <is>
          <t>ATIVA</t>
        </is>
      </c>
      <c r="L703" s="58" t="n">
        <v>46252</v>
      </c>
    </row>
    <row r="704">
      <c r="A704" s="54" t="n">
        <v>212522538</v>
      </c>
      <c r="B704" s="54" t="inlineStr">
        <is>
          <t>VIVO</t>
        </is>
      </c>
      <c r="C704" s="54" t="n">
        <v>15996241925</v>
      </c>
      <c r="D704" s="54" t="inlineStr">
        <is>
          <t>32201</t>
        </is>
      </c>
      <c r="E704" s="54" t="inlineStr">
        <is>
          <t>C01 - SUZANO MANUTENCAO AGUA CLARA</t>
        </is>
      </c>
      <c r="F704" s="49" t="inlineStr">
        <is>
          <t>210104027</t>
        </is>
      </c>
      <c r="G704" s="54" t="inlineStr">
        <is>
          <t>WESLEY ROLEMBERG</t>
        </is>
      </c>
      <c r="H704" s="49" t="inlineStr">
        <is>
          <t>86124978172</t>
        </is>
      </c>
      <c r="I704" s="55" t="n">
        <v>46235</v>
      </c>
      <c r="J704" s="84" t="n">
        <v>39.59</v>
      </c>
      <c r="K704" s="57" t="inlineStr">
        <is>
          <t>ATIVA</t>
        </is>
      </c>
      <c r="L704" s="58" t="n">
        <v>46252</v>
      </c>
    </row>
    <row r="705">
      <c r="A705" s="54" t="n">
        <v>212522538</v>
      </c>
      <c r="B705" s="54" t="inlineStr">
        <is>
          <t>VIVO</t>
        </is>
      </c>
      <c r="C705" s="54" t="n">
        <v>15997345359</v>
      </c>
      <c r="D705" s="54" t="inlineStr">
        <is>
          <t>42501</t>
        </is>
      </c>
      <c r="E705" s="54" t="inlineStr">
        <is>
          <t>C02 - BRACELL CBO</t>
        </is>
      </c>
      <c r="F705" s="49" t="inlineStr">
        <is>
          <t>010321784</t>
        </is>
      </c>
      <c r="G705" s="54" t="inlineStr">
        <is>
          <t>ZAQUEU CRAVO DE OLIVEIRA</t>
        </is>
      </c>
      <c r="H705" s="49" t="inlineStr">
        <is>
          <t>41730361838</t>
        </is>
      </c>
      <c r="I705" s="55" t="n">
        <v>46235</v>
      </c>
      <c r="J705" s="84" t="n">
        <v>39.59</v>
      </c>
      <c r="K705" s="57" t="inlineStr">
        <is>
          <t>ATIVA</t>
        </is>
      </c>
      <c r="L705" s="58" t="n">
        <v>46252</v>
      </c>
    </row>
    <row r="706">
      <c r="A706" s="54" t="n">
        <v>212522538</v>
      </c>
      <c r="B706" s="54" t="inlineStr">
        <is>
          <t>VIVO</t>
        </is>
      </c>
      <c r="C706" s="54" t="n">
        <v>15997762866</v>
      </c>
      <c r="D706" s="54" t="inlineStr">
        <is>
          <t>42501</t>
        </is>
      </c>
      <c r="E706" s="54" t="inlineStr">
        <is>
          <t>C02 - BRACELL CBO</t>
        </is>
      </c>
      <c r="F706" s="49" t="inlineStr">
        <is>
          <t>010321784</t>
        </is>
      </c>
      <c r="G706" s="54" t="inlineStr">
        <is>
          <t>ZAQUEU CRAVO DE OLIVEIRA</t>
        </is>
      </c>
      <c r="H706" s="49" t="inlineStr">
        <is>
          <t>41730361838</t>
        </is>
      </c>
      <c r="I706" s="55" t="n">
        <v>46235</v>
      </c>
      <c r="J706" s="84" t="n">
        <v>39.59</v>
      </c>
      <c r="K706" s="73" t="inlineStr">
        <is>
          <t>ATIVA</t>
        </is>
      </c>
      <c r="L706" s="58" t="n">
        <v>46252</v>
      </c>
    </row>
    <row r="707" ht="16.5" customHeight="1">
      <c r="A707" s="54" t="n">
        <v>212522538</v>
      </c>
      <c r="B707" s="54" t="inlineStr">
        <is>
          <t>VIVO</t>
        </is>
      </c>
      <c r="C707" s="54" t="n">
        <v>15996050447</v>
      </c>
      <c r="D707" s="54" t="inlineStr">
        <is>
          <t>2143</t>
        </is>
      </c>
      <c r="E707" s="54" t="inlineStr">
        <is>
          <t>SSMA SMA</t>
        </is>
      </c>
      <c r="F707" s="49" t="inlineStr">
        <is>
          <t>010322106</t>
        </is>
      </c>
      <c r="G707" s="78" t="inlineStr">
        <is>
          <t>CARLA CRISTINA CORREA FERREIRA</t>
        </is>
      </c>
      <c r="H707" s="49" t="inlineStr">
        <is>
          <t>43491574846</t>
        </is>
      </c>
      <c r="I707" s="55" t="n">
        <v>46235</v>
      </c>
      <c r="J707" s="84" t="n">
        <v>39.59</v>
      </c>
      <c r="K707" s="57" t="inlineStr">
        <is>
          <t>ATIVA</t>
        </is>
      </c>
      <c r="L707" s="58" t="n">
        <v>46252</v>
      </c>
    </row>
    <row r="708" ht="16.5" customHeight="1">
      <c r="A708" s="54" t="n">
        <v>212522538</v>
      </c>
      <c r="B708" s="54" t="inlineStr">
        <is>
          <t>VIVO</t>
        </is>
      </c>
      <c r="C708" s="54" t="n">
        <v>15996824024</v>
      </c>
      <c r="D708" s="54" t="inlineStr">
        <is>
          <t>525</t>
        </is>
      </c>
      <c r="E708" s="54" t="inlineStr">
        <is>
          <t>QUALIDADE PR1</t>
        </is>
      </c>
      <c r="F708" s="49" t="inlineStr">
        <is>
          <t>010321716</t>
        </is>
      </c>
      <c r="G708" s="78" t="inlineStr">
        <is>
          <t>CARLOS ALBERTO NUNES CAMARGO FILHO</t>
        </is>
      </c>
      <c r="H708" s="49" t="inlineStr">
        <is>
          <t>45720666800</t>
        </is>
      </c>
      <c r="I708" s="55" t="n">
        <v>46235</v>
      </c>
      <c r="J708" s="84" t="n">
        <v>39.59</v>
      </c>
      <c r="K708" s="57" t="inlineStr">
        <is>
          <t>ATIVA</t>
        </is>
      </c>
      <c r="L708" s="58" t="n">
        <v>46252</v>
      </c>
    </row>
    <row r="709"/>
    <row r="710"/>
    <row r="711"/>
    <row r="712">
      <c r="C712" s="16" t="n"/>
    </row>
    <row r="713"/>
    <row r="714">
      <c r="D714" s="16" t="n"/>
    </row>
    <row r="715">
      <c r="D715" s="75" t="n"/>
      <c r="E715" s="54" t="n"/>
      <c r="F715" s="4" t="n"/>
      <c r="G715" s="4" t="n"/>
    </row>
    <row r="716">
      <c r="D716" s="79" t="n"/>
      <c r="E716" s="54" t="n"/>
    </row>
    <row r="717">
      <c r="D717" s="79" t="n"/>
      <c r="E717" s="79" t="n"/>
    </row>
    <row r="718">
      <c r="D718" s="54" t="n"/>
      <c r="E718" s="54" t="n"/>
      <c r="F718" s="74" t="n"/>
      <c r="G718" s="54" t="n"/>
    </row>
    <row r="719">
      <c r="D719" s="76" t="n"/>
      <c r="E719" s="68" t="n"/>
    </row>
  </sheetData>
  <autoFilter ref="A1:L708"/>
  <conditionalFormatting sqref="K2:K32 K34:K103 K114:K123 K126:K152 K154:K157 K166:K177 K179:K217 K220:K254 K256 K258:K268 K270:K342 K344:K501 K503:K506 K509:K514 K516:K522 K526 K529:K534 K536:K549 K552:K566 K569:K573 K589:K1048576">
    <cfRule type="containsText" priority="1" operator="containsText" dxfId="17" text="ESTOQUE">
      <formula>NOT(ISERROR(SEARCH("ESTOQUE",K2)))</formula>
    </cfRule>
    <cfRule type="containsText" priority="2" operator="containsText" dxfId="9" text="DESLIGADO">
      <formula>NOT(ISERROR(SEARCH("DESLIGADO",K2)))</formula>
    </cfRule>
    <cfRule type="containsText" priority="3" operator="containsText" dxfId="15" text="ATIVA">
      <formula>NOT(ISERROR(SEARCH("ATIVA",K2)))</formula>
    </cfRule>
  </conditionalFormatting>
  <conditionalFormatting sqref="L709:L1048576">
    <cfRule type="containsText" priority="6" operator="containsText" dxfId="5" text="Inativada">
      <formula>NOT(ISERROR(SEARCH("Inativada",L709)))</formula>
    </cfRule>
    <cfRule type="containsText" priority="7" operator="containsText" dxfId="7" text="Ativa">
      <formula>NOT(ISERROR(SEARCH("Ativa",L709)))</formula>
    </cfRule>
  </conditionalFormatting>
  <dataValidations count="3">
    <dataValidation sqref="I1" showDropDown="0" showInputMessage="1" showErrorMessage="1" allowBlank="1" type="list">
      <formula1>"EM USO,EM PREPARO,EM ESTOQUE(S/ CHIP),EM ESTOQUE (C/ CHIP)"</formula1>
    </dataValidation>
    <dataValidation sqref="K1" showDropDown="0" showInputMessage="1" showErrorMessage="1" allowBlank="1" type="list">
      <formula1>"ATIVA,ESTOQUE,VERIFICAR"</formula1>
    </dataValidation>
    <dataValidation sqref="K2:K32 K34:K103 K114:K123 K126:K152 K154:K157 K166:K177 K179:K217 K220:K254 K256 K258:K268 K270:K342 K344:K501 K503:K506 K509:K514 K516:K522 K526 K529:K534 K536:K549 K552:K566 K569:K573 K589:K1048576" showDropDown="0" showInputMessage="1" showErrorMessage="1" allowBlank="1" type="list">
      <formula1>"ATIVA,ESTOQUE,VERIFICAR,DESLIGADO"</formula1>
    </dataValidation>
  </dataValidation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V239"/>
  <sheetViews>
    <sheetView workbookViewId="0">
      <selection activeCell="G255" sqref="G255"/>
    </sheetView>
  </sheetViews>
  <sheetFormatPr baseColWidth="8" defaultRowHeight="15"/>
  <cols>
    <col width="23.5703125" bestFit="1" customWidth="1" style="4" min="1" max="1"/>
    <col width="19.140625" customWidth="1" style="4" min="2" max="2"/>
    <col width="8.42578125" bestFit="1" customWidth="1" style="4" min="3" max="3"/>
    <col width="39.42578125" bestFit="1" customWidth="1" style="4" min="4" max="4"/>
    <col width="11.28515625" customWidth="1" style="4" min="5" max="5"/>
    <col width="45.85546875" customWidth="1" style="4" min="6" max="6"/>
    <col width="33.42578125" customWidth="1" style="4" min="7" max="7"/>
    <col width="16.85546875" customWidth="1" style="4" min="8" max="8"/>
    <col width="16.85546875" customWidth="1" style="18" min="9" max="10"/>
    <col width="16.85546875" customWidth="1" style="4" min="11" max="11"/>
    <col width="18.5703125" bestFit="1" customWidth="1" style="4" min="12" max="12"/>
    <col width="15.140625" customWidth="1" style="4" min="13" max="13"/>
    <col width="24.85546875" bestFit="1" customWidth="1" style="4" min="14" max="14"/>
    <col width="33.5703125" customWidth="1" style="4" min="15" max="15"/>
    <col width="19.85546875" bestFit="1" customWidth="1" style="4" min="16" max="16"/>
    <col width="18.28515625" bestFit="1" customWidth="1" style="4" min="17" max="17"/>
    <col width="18.42578125" bestFit="1" customWidth="1" style="4" min="18" max="18"/>
    <col width="22.28515625" bestFit="1" customWidth="1" style="4" min="19" max="19"/>
    <col width="20.28515625" bestFit="1" customWidth="1" style="4" min="20" max="20"/>
    <col width="24.28515625" bestFit="1" customWidth="1" style="4" min="21" max="21"/>
    <col width="13.7109375" bestFit="1" customWidth="1" style="4" min="22" max="22"/>
    <col width="9.140625" customWidth="1" style="4" min="23" max="34"/>
    <col width="9.140625" customWidth="1" style="4" min="35" max="16384"/>
  </cols>
  <sheetData>
    <row r="1">
      <c r="A1" s="2" t="inlineStr">
        <is>
          <t>Empresa</t>
        </is>
      </c>
      <c r="B1" s="2" t="inlineStr">
        <is>
          <t>Linha</t>
        </is>
      </c>
      <c r="C1" s="2" t="inlineStr">
        <is>
          <t>Cod CDC</t>
        </is>
      </c>
      <c r="D1" s="2" t="inlineStr">
        <is>
          <t>CDC</t>
        </is>
      </c>
      <c r="E1" s="2" t="inlineStr">
        <is>
          <t>Chapa</t>
        </is>
      </c>
      <c r="F1" s="2" t="inlineStr">
        <is>
          <t>Nome</t>
        </is>
      </c>
      <c r="G1" s="2" t="inlineStr">
        <is>
          <t>Região</t>
        </is>
      </c>
      <c r="H1" s="2" t="inlineStr">
        <is>
          <t>Num Serie</t>
        </is>
      </c>
      <c r="I1" s="40" t="inlineStr">
        <is>
          <t>IMEI 1</t>
        </is>
      </c>
      <c r="J1" s="40" t="inlineStr">
        <is>
          <t>IMEI 2</t>
        </is>
      </c>
      <c r="K1" s="2" t="inlineStr">
        <is>
          <t>N° FICHA</t>
        </is>
      </c>
      <c r="L1" s="2" t="inlineStr">
        <is>
          <t>Num do patrimonio</t>
        </is>
      </c>
      <c r="M1" s="2" t="inlineStr">
        <is>
          <t>Valor  Total</t>
        </is>
      </c>
      <c r="N1" s="2" t="inlineStr">
        <is>
          <t>Meses para depreciar</t>
        </is>
      </c>
      <c r="O1" s="2" t="inlineStr">
        <is>
          <t>Depreciação do mês</t>
        </is>
      </c>
      <c r="P1" s="2" t="inlineStr">
        <is>
          <t>Inicio da depreciação</t>
        </is>
      </c>
      <c r="Q1" s="2" t="inlineStr">
        <is>
          <t>Fim da depreciação</t>
        </is>
      </c>
      <c r="R1" s="2" t="inlineStr">
        <is>
          <t>Meses depreciados</t>
        </is>
      </c>
      <c r="S1" s="2" t="inlineStr">
        <is>
          <t>Depreciação acumulada</t>
        </is>
      </c>
      <c r="T1" s="2" t="inlineStr">
        <is>
          <t>Meses para depreciar</t>
        </is>
      </c>
      <c r="U1" s="2" t="inlineStr">
        <is>
          <t>Valor restante a depreciar</t>
        </is>
      </c>
      <c r="V1" s="2" t="inlineStr">
        <is>
          <t>Dt Atualização</t>
        </is>
      </c>
    </row>
    <row r="2" hidden="1">
      <c r="A2" s="4" t="inlineStr">
        <is>
          <t>SAMSUNG GALAXY A36</t>
        </is>
      </c>
      <c r="C2" s="4" t="n">
        <v>71100</v>
      </c>
      <c r="D2" s="14" t="inlineStr">
        <is>
          <t>P01 - ESCAVADEIRA HIDRAULICA</t>
        </is>
      </c>
      <c r="G2" s="10" t="inlineStr">
        <is>
          <t>LESTE</t>
        </is>
      </c>
      <c r="H2" s="4" t="inlineStr">
        <is>
          <t>RQCY705VSNZ</t>
        </is>
      </c>
      <c r="L2" s="88" t="inlineStr">
        <is>
          <t xml:space="preserve">CEL0001   </t>
        </is>
      </c>
      <c r="M2" s="3" t="n">
        <v>1558</v>
      </c>
      <c r="N2" s="4" t="n">
        <v>60</v>
      </c>
      <c r="O2" s="88">
        <f>M2/N2</f>
        <v/>
      </c>
      <c r="P2" s="6" t="inlineStr">
        <is>
          <t>22/08/2025</t>
        </is>
      </c>
      <c r="Q2" s="6" t="n"/>
      <c r="R2" s="7">
        <f>ROUNDDOWN(((TODAY()-P2)/30)-1,0)</f>
        <v/>
      </c>
      <c r="S2" s="88">
        <f>O2*R2</f>
        <v/>
      </c>
      <c r="T2" s="7">
        <f>ROUNDUP(N2-R2,0)</f>
        <v/>
      </c>
      <c r="U2" s="89">
        <f>M2-(O2*R2)</f>
        <v/>
      </c>
      <c r="V2" s="6" t="n">
        <v>46181</v>
      </c>
    </row>
    <row r="3" hidden="1">
      <c r="A3" s="4" t="inlineStr">
        <is>
          <t>SAMSUNG GALAXY A36</t>
        </is>
      </c>
      <c r="C3" s="4" t="n">
        <v>53201</v>
      </c>
      <c r="D3" s="14" t="inlineStr">
        <is>
          <t xml:space="preserve">C08 - CMPC SAO GABRIEL MANUAL </t>
        </is>
      </c>
      <c r="G3" s="10" t="inlineStr">
        <is>
          <t>SUL</t>
        </is>
      </c>
      <c r="H3" s="4" t="inlineStr">
        <is>
          <t>RQCY800BQST</t>
        </is>
      </c>
      <c r="L3" s="88" t="inlineStr">
        <is>
          <t xml:space="preserve">CEL0002   </t>
        </is>
      </c>
      <c r="M3" s="3" t="n">
        <v>1558</v>
      </c>
      <c r="N3" s="4" t="n">
        <v>60</v>
      </c>
      <c r="O3" s="88">
        <f>M3/N3</f>
        <v/>
      </c>
      <c r="P3" s="6" t="inlineStr">
        <is>
          <t>22/08/2025</t>
        </is>
      </c>
      <c r="Q3" s="6" t="n"/>
      <c r="R3" s="7">
        <f>ROUNDDOWN(((TODAY()-P3)/30)-1,0)</f>
        <v/>
      </c>
      <c r="S3" s="88">
        <f>O3*R3</f>
        <v/>
      </c>
      <c r="T3" s="7">
        <f>ROUNDUP(N3-R3,0)</f>
        <v/>
      </c>
      <c r="U3" s="89">
        <f>M3-(O3*R3)</f>
        <v/>
      </c>
      <c r="V3" s="6" t="n">
        <v>46181</v>
      </c>
    </row>
    <row r="4" hidden="1">
      <c r="A4" s="4" t="inlineStr">
        <is>
          <t>SAMSUNG GALAXY A36</t>
        </is>
      </c>
      <c r="C4" s="4" t="n">
        <v>10</v>
      </c>
      <c r="D4" s="14" t="inlineStr">
        <is>
          <t>RECURSOS HUMANOS</t>
        </is>
      </c>
      <c r="G4" s="10" t="inlineStr">
        <is>
          <t>CORPORATIVO</t>
        </is>
      </c>
      <c r="H4" s="4" t="inlineStr">
        <is>
          <t>RQCY7069QKZ</t>
        </is>
      </c>
      <c r="L4" s="4" t="inlineStr">
        <is>
          <t xml:space="preserve">CEL0003   </t>
        </is>
      </c>
      <c r="M4" s="3" t="n">
        <v>1558</v>
      </c>
      <c r="N4" s="4" t="n">
        <v>60</v>
      </c>
      <c r="O4" s="88">
        <f>M4/N4</f>
        <v/>
      </c>
      <c r="P4" s="6" t="inlineStr">
        <is>
          <t>22/08/2025</t>
        </is>
      </c>
      <c r="Q4" s="6" t="n"/>
      <c r="R4" s="7">
        <f>ROUNDDOWN(((TODAY()-P4)/30)-1,0)</f>
        <v/>
      </c>
      <c r="S4" s="88">
        <f>O4*R4</f>
        <v/>
      </c>
      <c r="T4" s="7">
        <f>ROUNDUP(N4-R4,0)</f>
        <v/>
      </c>
      <c r="U4" s="89">
        <f>M4-(O4*R4)</f>
        <v/>
      </c>
      <c r="V4" s="6" t="n">
        <v>46181</v>
      </c>
    </row>
    <row r="5" hidden="1">
      <c r="A5" s="4" t="inlineStr">
        <is>
          <t>SAMSUNG GALAXY A36</t>
        </is>
      </c>
      <c r="C5" s="4" t="n">
        <v>10</v>
      </c>
      <c r="D5" s="14" t="inlineStr">
        <is>
          <t>RECURSOS HUMANOS</t>
        </is>
      </c>
      <c r="G5" s="10" t="inlineStr">
        <is>
          <t>CORPORATIVO</t>
        </is>
      </c>
      <c r="H5" s="4" t="inlineStr">
        <is>
          <t>RQCY706APLD</t>
        </is>
      </c>
      <c r="L5" s="4" t="inlineStr">
        <is>
          <t xml:space="preserve">CEL0004   </t>
        </is>
      </c>
      <c r="M5" s="3" t="n">
        <v>1558</v>
      </c>
      <c r="N5" s="4" t="n">
        <v>60</v>
      </c>
      <c r="O5" s="88">
        <f>M5/N5</f>
        <v/>
      </c>
      <c r="P5" s="6" t="inlineStr">
        <is>
          <t>22/08/2025</t>
        </is>
      </c>
      <c r="Q5" s="6" t="n"/>
      <c r="R5" s="7">
        <f>ROUNDDOWN(((TODAY()-P5)/30)-1,0)</f>
        <v/>
      </c>
      <c r="S5" s="88">
        <f>O5*R5</f>
        <v/>
      </c>
      <c r="T5" s="7">
        <f>ROUNDUP(N5-R5,0)</f>
        <v/>
      </c>
      <c r="U5" s="89">
        <f>M5-S5</f>
        <v/>
      </c>
      <c r="V5" s="6" t="n">
        <v>46181</v>
      </c>
    </row>
    <row r="6" hidden="1">
      <c r="A6" s="4" t="inlineStr">
        <is>
          <t>SAMSUNG GALAXY A36</t>
        </is>
      </c>
      <c r="C6" s="4" t="n">
        <v>12</v>
      </c>
      <c r="D6" s="14" t="inlineStr">
        <is>
          <t>SUPRIMENTOS E FROTAS</t>
        </is>
      </c>
      <c r="G6" s="10" t="inlineStr">
        <is>
          <t>CORPORATIVO</t>
        </is>
      </c>
      <c r="H6" s="4" t="inlineStr">
        <is>
          <t>RQCY800BSYN</t>
        </is>
      </c>
      <c r="L6" s="4" t="inlineStr">
        <is>
          <t xml:space="preserve">CEL0005   </t>
        </is>
      </c>
      <c r="M6" s="3" t="n">
        <v>1558</v>
      </c>
      <c r="N6" s="4" t="n">
        <v>60</v>
      </c>
      <c r="O6" s="88">
        <f>M6/N6</f>
        <v/>
      </c>
      <c r="P6" s="6" t="inlineStr">
        <is>
          <t>22/08/2025</t>
        </is>
      </c>
      <c r="Q6" s="6" t="n"/>
      <c r="R6" s="7">
        <f>ROUNDDOWN(((TODAY()-P6)/30)-1,0)</f>
        <v/>
      </c>
      <c r="S6" s="88">
        <f>O6*R6</f>
        <v/>
      </c>
      <c r="T6" s="7">
        <f>ROUNDUP(N6-R6,0)</f>
        <v/>
      </c>
      <c r="U6" s="89">
        <f>M6-S6</f>
        <v/>
      </c>
      <c r="V6" s="6" t="n">
        <v>46181</v>
      </c>
    </row>
    <row r="7" hidden="1">
      <c r="A7" s="4" t="inlineStr">
        <is>
          <t>SAMSUNG GALAXY A36</t>
        </is>
      </c>
      <c r="C7" s="4" t="n">
        <v>53201</v>
      </c>
      <c r="D7" s="14" t="inlineStr">
        <is>
          <t xml:space="preserve">C08 - CMPC SAO GABRIEL MANUAL </t>
        </is>
      </c>
      <c r="G7" s="10" t="inlineStr">
        <is>
          <t>SUL</t>
        </is>
      </c>
      <c r="H7" s="4" t="inlineStr">
        <is>
          <t>RQCY706AB9R</t>
        </is>
      </c>
      <c r="L7" s="4" t="inlineStr">
        <is>
          <t xml:space="preserve">CEL0006   </t>
        </is>
      </c>
      <c r="M7" s="3" t="n">
        <v>1558</v>
      </c>
      <c r="N7" s="4" t="n">
        <v>60</v>
      </c>
      <c r="O7" s="88">
        <f>M7/N7</f>
        <v/>
      </c>
      <c r="P7" s="4" t="inlineStr">
        <is>
          <t>22/08/2025</t>
        </is>
      </c>
      <c r="R7" s="7">
        <f>ROUNDDOWN(((TODAY()-P7)/30)-1,0)</f>
        <v/>
      </c>
      <c r="S7" s="88">
        <f>O7*R7</f>
        <v/>
      </c>
      <c r="T7" s="7">
        <f>ROUNDUP(N7-R7,0)</f>
        <v/>
      </c>
      <c r="U7" s="89">
        <f>M7-S7</f>
        <v/>
      </c>
      <c r="V7" s="6" t="n">
        <v>46181</v>
      </c>
    </row>
    <row r="8" hidden="1">
      <c r="A8" s="4" t="inlineStr">
        <is>
          <t>SAMSUNG GALAXY A36</t>
        </is>
      </c>
      <c r="C8" s="4" t="n">
        <v>10</v>
      </c>
      <c r="D8" s="14" t="inlineStr">
        <is>
          <t>RECURSOS HUMANOS</t>
        </is>
      </c>
      <c r="G8" s="10" t="inlineStr">
        <is>
          <t>CORPORATIVO</t>
        </is>
      </c>
      <c r="H8" s="4" t="inlineStr">
        <is>
          <t>RQCY706A4KZ</t>
        </is>
      </c>
      <c r="L8" s="4" t="inlineStr">
        <is>
          <t xml:space="preserve">CEL0007   </t>
        </is>
      </c>
      <c r="M8" s="3" t="n">
        <v>1558</v>
      </c>
      <c r="N8" s="4" t="n">
        <v>60</v>
      </c>
      <c r="O8" s="88">
        <f>M8/N8</f>
        <v/>
      </c>
      <c r="P8" s="4" t="inlineStr">
        <is>
          <t>22/08/2025</t>
        </is>
      </c>
      <c r="R8" s="7">
        <f>ROUNDDOWN(((TODAY()-P8)/30)-1,0)</f>
        <v/>
      </c>
      <c r="S8" s="88">
        <f>O8*R8</f>
        <v/>
      </c>
      <c r="T8" s="7">
        <f>ROUNDUP(N8-R8,0)</f>
        <v/>
      </c>
      <c r="U8" s="89">
        <f>M8-S8</f>
        <v/>
      </c>
      <c r="V8" s="6" t="n">
        <v>46181</v>
      </c>
    </row>
    <row r="9" hidden="1">
      <c r="A9" s="32" t="inlineStr">
        <is>
          <t>SAMSUNG GALAXY A36</t>
        </is>
      </c>
      <c r="B9" s="32" t="n"/>
      <c r="C9" s="32" t="n">
        <v>53201</v>
      </c>
      <c r="D9" s="33" t="inlineStr">
        <is>
          <t xml:space="preserve">C08 - CMPC SAO GABRIEL MANUAL </t>
        </is>
      </c>
      <c r="E9" s="32" t="n"/>
      <c r="F9" s="32" t="n"/>
      <c r="G9" s="33" t="inlineStr">
        <is>
          <t>SUL</t>
        </is>
      </c>
      <c r="H9" s="32" t="inlineStr">
        <is>
          <t>RQCY800BTVP</t>
        </is>
      </c>
      <c r="I9" s="41" t="n"/>
      <c r="J9" s="41" t="n"/>
      <c r="K9" s="32" t="n"/>
      <c r="L9" s="32" t="inlineStr">
        <is>
          <t xml:space="preserve">CEL0008   </t>
        </is>
      </c>
      <c r="M9" s="34" t="n">
        <v>1558</v>
      </c>
      <c r="N9" s="32" t="n">
        <v>60</v>
      </c>
      <c r="O9" s="90">
        <f>M9/N9</f>
        <v/>
      </c>
      <c r="P9" s="36" t="inlineStr">
        <is>
          <t>22/08/2025</t>
        </is>
      </c>
      <c r="Q9" s="32" t="n"/>
      <c r="R9" s="37">
        <f>ROUNDDOWN(((TODAY()-P9)/30)-1,0)</f>
        <v/>
      </c>
      <c r="S9" s="90">
        <f>O9*R9</f>
        <v/>
      </c>
      <c r="T9" s="37">
        <f>ROUNDUP(N9-R9,0)</f>
        <v/>
      </c>
      <c r="U9" s="91">
        <f>M9-S9</f>
        <v/>
      </c>
      <c r="V9" s="36" t="n">
        <v>46181</v>
      </c>
    </row>
    <row r="10" hidden="1">
      <c r="A10" s="4" t="inlineStr">
        <is>
          <t>SAMSUNG GALAXY A36</t>
        </is>
      </c>
      <c r="C10" s="4" t="n">
        <v>53201</v>
      </c>
      <c r="D10" s="14" t="inlineStr">
        <is>
          <t xml:space="preserve">C08 - CMPC SAO GABRIEL MANUAL </t>
        </is>
      </c>
      <c r="G10" s="10" t="inlineStr">
        <is>
          <t>SUL</t>
        </is>
      </c>
      <c r="H10" s="4" t="inlineStr">
        <is>
          <t>RQCY800BTKF</t>
        </is>
      </c>
      <c r="L10" s="4" t="inlineStr">
        <is>
          <t xml:space="preserve">CEL0009   </t>
        </is>
      </c>
      <c r="M10" s="3" t="n">
        <v>1558</v>
      </c>
      <c r="N10" s="4" t="n">
        <v>60</v>
      </c>
      <c r="O10" s="88">
        <f>M10/N10</f>
        <v/>
      </c>
      <c r="P10" s="6" t="inlineStr">
        <is>
          <t>22/08/2025</t>
        </is>
      </c>
      <c r="R10" s="7">
        <f>ROUNDDOWN(((TODAY()-P10)/30)-1,0)</f>
        <v/>
      </c>
      <c r="S10" s="88">
        <f>O10*R10</f>
        <v/>
      </c>
      <c r="T10" s="7">
        <f>ROUNDUP(N10-R10,0)</f>
        <v/>
      </c>
      <c r="U10" s="89">
        <f>M10-S10</f>
        <v/>
      </c>
      <c r="V10" s="6" t="n">
        <v>46181</v>
      </c>
    </row>
    <row r="11" hidden="1">
      <c r="A11" s="4" t="inlineStr">
        <is>
          <t>SAMSUNG GALAXY A36</t>
        </is>
      </c>
      <c r="C11" s="4" t="n">
        <v>42401</v>
      </c>
      <c r="D11" s="14" t="inlineStr">
        <is>
          <t>C02 - SUZANO SMA</t>
        </is>
      </c>
      <c r="G11" s="10" t="inlineStr">
        <is>
          <t>LESTE</t>
        </is>
      </c>
      <c r="H11" s="4" t="inlineStr">
        <is>
          <t>RQCY7069RTY</t>
        </is>
      </c>
      <c r="L11" s="4" t="inlineStr">
        <is>
          <t xml:space="preserve">CEL0010   </t>
        </is>
      </c>
      <c r="M11" s="3" t="n">
        <v>1558</v>
      </c>
      <c r="N11" s="4" t="n">
        <v>60</v>
      </c>
      <c r="O11" s="88">
        <f>M11/N11</f>
        <v/>
      </c>
      <c r="P11" s="4" t="inlineStr">
        <is>
          <t>22/08/2025</t>
        </is>
      </c>
      <c r="R11" s="7">
        <f>ROUNDDOWN(((TODAY()-P11)/30)-1,0)</f>
        <v/>
      </c>
      <c r="S11" s="88">
        <f>O11*R11</f>
        <v/>
      </c>
      <c r="T11" s="7">
        <f>ROUNDUP(N11-R11,0)</f>
        <v/>
      </c>
      <c r="U11" s="89">
        <f>M11-S11</f>
        <v/>
      </c>
      <c r="V11" s="6" t="n">
        <v>46181</v>
      </c>
    </row>
    <row r="12" hidden="1">
      <c r="A12" s="4" t="inlineStr">
        <is>
          <t>SAMSUNG GALAXY A36</t>
        </is>
      </c>
      <c r="C12" s="4" t="n">
        <v>410</v>
      </c>
      <c r="D12" s="14" t="inlineStr">
        <is>
          <t xml:space="preserve">GESTAO OP SP3 </t>
        </is>
      </c>
      <c r="G12" s="10" t="inlineStr">
        <is>
          <t>NORTE</t>
        </is>
      </c>
      <c r="H12" s="4" t="inlineStr">
        <is>
          <t>RQCY706A3WV</t>
        </is>
      </c>
      <c r="L12" s="4" t="inlineStr">
        <is>
          <t xml:space="preserve">CEL0011   </t>
        </is>
      </c>
      <c r="M12" s="3" t="n">
        <v>1558</v>
      </c>
      <c r="N12" s="4" t="n">
        <v>60</v>
      </c>
      <c r="O12" s="88">
        <f>M12/N12</f>
        <v/>
      </c>
      <c r="P12" s="4" t="inlineStr">
        <is>
          <t>22/08/2025</t>
        </is>
      </c>
      <c r="R12" s="7">
        <f>ROUNDDOWN(((TODAY()-P12)/30)-1,0)</f>
        <v/>
      </c>
      <c r="S12" s="88">
        <f>O12*R12</f>
        <v/>
      </c>
      <c r="T12" s="7">
        <f>ROUNDUP(N12-R12,0)</f>
        <v/>
      </c>
      <c r="U12" s="89">
        <f>M12-S12</f>
        <v/>
      </c>
      <c r="V12" s="6" t="n">
        <v>46181</v>
      </c>
    </row>
    <row r="13" hidden="1">
      <c r="A13" s="4" t="inlineStr">
        <is>
          <t>SAMSUNG GALAXY A36</t>
        </is>
      </c>
      <c r="C13" s="4" t="n">
        <v>12</v>
      </c>
      <c r="D13" s="14" t="inlineStr">
        <is>
          <t>SUPRIMENTOS E FROTAS</t>
        </is>
      </c>
      <c r="G13" s="10" t="inlineStr">
        <is>
          <t>CORPORATIVO</t>
        </is>
      </c>
      <c r="H13" s="4" t="inlineStr">
        <is>
          <t>RQCY7069Q8W</t>
        </is>
      </c>
      <c r="L13" s="4" t="inlineStr">
        <is>
          <t xml:space="preserve">CEL0012   </t>
        </is>
      </c>
      <c r="M13" s="3" t="n">
        <v>1558</v>
      </c>
      <c r="N13" s="4" t="n">
        <v>60</v>
      </c>
      <c r="O13" s="88">
        <f>M13/N13</f>
        <v/>
      </c>
      <c r="P13" s="4" t="inlineStr">
        <is>
          <t>22/08/2025</t>
        </is>
      </c>
      <c r="R13" s="7">
        <f>ROUNDDOWN(((TODAY()-P13)/30)-1,0)</f>
        <v/>
      </c>
      <c r="S13" s="88">
        <f>O13*R13</f>
        <v/>
      </c>
      <c r="T13" s="7">
        <f>ROUNDUP(N13-R13,0)</f>
        <v/>
      </c>
      <c r="U13" s="89">
        <f>M13-S13</f>
        <v/>
      </c>
      <c r="V13" s="6" t="n">
        <v>46181</v>
      </c>
    </row>
    <row r="14" hidden="1">
      <c r="A14" s="4" t="inlineStr">
        <is>
          <t>SAMSUNG GALAXY A36</t>
        </is>
      </c>
      <c r="C14" s="4" t="n">
        <v>53201</v>
      </c>
      <c r="D14" s="14" t="inlineStr">
        <is>
          <t xml:space="preserve">C08 - CMPC SAO GABRIEL MANUAL </t>
        </is>
      </c>
      <c r="G14" s="10" t="inlineStr">
        <is>
          <t>SUL</t>
        </is>
      </c>
      <c r="H14" s="4" t="inlineStr">
        <is>
          <t>RQCY706APTW</t>
        </is>
      </c>
      <c r="L14" s="4" t="inlineStr">
        <is>
          <t xml:space="preserve">CEL0013   </t>
        </is>
      </c>
      <c r="M14" s="3" t="n">
        <v>1558</v>
      </c>
      <c r="N14" s="4" t="n">
        <v>60</v>
      </c>
      <c r="O14" s="88">
        <f>M14/N14</f>
        <v/>
      </c>
      <c r="P14" s="4" t="inlineStr">
        <is>
          <t>22/08/2025</t>
        </is>
      </c>
      <c r="R14" s="7">
        <f>ROUNDDOWN(((TODAY()-P14)/30)-1,0)</f>
        <v/>
      </c>
      <c r="S14" s="88">
        <f>O14*R14</f>
        <v/>
      </c>
      <c r="T14" s="7">
        <f>ROUNDUP(N14-R14,0)</f>
        <v/>
      </c>
      <c r="U14" s="89">
        <f>M14-S14</f>
        <v/>
      </c>
      <c r="V14" s="6" t="n">
        <v>46181</v>
      </c>
    </row>
    <row r="15" hidden="1">
      <c r="A15" s="4" t="inlineStr">
        <is>
          <t>SAMSUNG GALAXY A36</t>
        </is>
      </c>
      <c r="C15" s="4" t="n">
        <v>42301</v>
      </c>
      <c r="D15" s="14" t="inlineStr">
        <is>
          <t xml:space="preserve">C04 - SUZANO CACAPAVA </t>
        </is>
      </c>
      <c r="G15" s="10" t="inlineStr">
        <is>
          <t>LESTE</t>
        </is>
      </c>
      <c r="H15" s="4" t="inlineStr">
        <is>
          <t>RQCY706AGPX</t>
        </is>
      </c>
      <c r="L15" s="4" t="inlineStr">
        <is>
          <t xml:space="preserve">CEL0014   </t>
        </is>
      </c>
      <c r="M15" s="3" t="n">
        <v>1558</v>
      </c>
      <c r="N15" s="4" t="n">
        <v>60</v>
      </c>
      <c r="O15" s="88">
        <f>M15/N15</f>
        <v/>
      </c>
      <c r="P15" s="4" t="inlineStr">
        <is>
          <t>22/08/2025</t>
        </is>
      </c>
      <c r="R15" s="7">
        <f>ROUNDDOWN(((TODAY()-P15)/30)-1,0)</f>
        <v/>
      </c>
      <c r="S15" s="88">
        <f>O15*R15</f>
        <v/>
      </c>
      <c r="T15" s="7">
        <f>ROUNDUP(N15-R15,0)</f>
        <v/>
      </c>
      <c r="U15" s="89">
        <f>M15-S15</f>
        <v/>
      </c>
      <c r="V15" s="6" t="n">
        <v>46181</v>
      </c>
    </row>
    <row r="16" hidden="1">
      <c r="A16" s="4" t="inlineStr">
        <is>
          <t>SAMSUNG GALAXY A36</t>
        </is>
      </c>
      <c r="C16" s="4" t="n">
        <v>530</v>
      </c>
      <c r="D16" s="14" t="inlineStr">
        <is>
          <t>GESTAO OP RS</t>
        </is>
      </c>
      <c r="G16" s="10" t="inlineStr">
        <is>
          <t>SUL</t>
        </is>
      </c>
      <c r="H16" s="4" t="inlineStr">
        <is>
          <t>RQCY800BSRP</t>
        </is>
      </c>
      <c r="L16" s="4" t="inlineStr">
        <is>
          <t xml:space="preserve">CEL0015   </t>
        </is>
      </c>
      <c r="M16" s="3" t="n">
        <v>1558</v>
      </c>
      <c r="N16" s="4" t="n">
        <v>60</v>
      </c>
      <c r="O16" s="88">
        <f>M16/N16</f>
        <v/>
      </c>
      <c r="P16" s="4" t="inlineStr">
        <is>
          <t>22/08/2025</t>
        </is>
      </c>
      <c r="R16" s="7">
        <f>ROUNDDOWN(((TODAY()-P16)/30)-1,0)</f>
        <v/>
      </c>
      <c r="S16" s="88">
        <f>O16*R16</f>
        <v/>
      </c>
      <c r="T16" s="7">
        <f>ROUNDUP(N16-R16,0)</f>
        <v/>
      </c>
      <c r="U16" s="89">
        <f>M16-S16</f>
        <v/>
      </c>
      <c r="V16" s="6" t="n">
        <v>46181</v>
      </c>
    </row>
    <row r="17" hidden="1">
      <c r="A17" s="4" t="inlineStr">
        <is>
          <t>SAMSUNG GALAXY A36</t>
        </is>
      </c>
      <c r="C17" s="4" t="n">
        <v>51200</v>
      </c>
      <c r="D17" s="14" t="inlineStr">
        <is>
          <t>GESTAO OP IBAITI</t>
        </is>
      </c>
      <c r="G17" s="10" t="inlineStr">
        <is>
          <t>SUL</t>
        </is>
      </c>
      <c r="H17" s="4" t="inlineStr">
        <is>
          <t>RQCY800BT7A</t>
        </is>
      </c>
      <c r="L17" s="4" t="inlineStr">
        <is>
          <t xml:space="preserve">CEL0016   </t>
        </is>
      </c>
      <c r="M17" s="3" t="n">
        <v>1558</v>
      </c>
      <c r="N17" s="4" t="n">
        <v>60</v>
      </c>
      <c r="O17" s="88">
        <f>M17/N17</f>
        <v/>
      </c>
      <c r="P17" s="4" t="inlineStr">
        <is>
          <t>22/08/2025</t>
        </is>
      </c>
      <c r="R17" s="7">
        <f>ROUNDDOWN(((TODAY()-P17)/30)-1,0)</f>
        <v/>
      </c>
      <c r="S17" s="88">
        <f>O17*R17</f>
        <v/>
      </c>
      <c r="T17" s="7">
        <f>ROUNDUP(N17-R17,0)</f>
        <v/>
      </c>
      <c r="U17" s="89">
        <f>M17-S17</f>
        <v/>
      </c>
      <c r="V17" s="6" t="n">
        <v>46181</v>
      </c>
    </row>
    <row r="18" hidden="1">
      <c r="A18" s="4" t="inlineStr">
        <is>
          <t>SAMSUNG GALAXY A36</t>
        </is>
      </c>
      <c r="C18" s="4" t="n">
        <v>2000</v>
      </c>
      <c r="D18" s="14" t="inlineStr">
        <is>
          <t xml:space="preserve">GESTAO MANUTENCAO </t>
        </is>
      </c>
      <c r="G18" s="10" t="inlineStr">
        <is>
          <t>SUPORTE OPERACIONAL</t>
        </is>
      </c>
      <c r="H18" s="4" t="inlineStr">
        <is>
          <t>RQCY706APFP</t>
        </is>
      </c>
      <c r="L18" s="4" t="inlineStr">
        <is>
          <t xml:space="preserve">CEL0017   </t>
        </is>
      </c>
      <c r="M18" s="3" t="n">
        <v>1558</v>
      </c>
      <c r="N18" s="4" t="n">
        <v>60</v>
      </c>
      <c r="O18" s="88">
        <f>M18/N18</f>
        <v/>
      </c>
      <c r="P18" s="4" t="inlineStr">
        <is>
          <t>22/08/2025</t>
        </is>
      </c>
      <c r="R18" s="7">
        <f>ROUNDDOWN(((TODAY()-P18)/30)-1,0)</f>
        <v/>
      </c>
      <c r="S18" s="88">
        <f>O18*R18</f>
        <v/>
      </c>
      <c r="T18" s="7">
        <f>ROUNDUP(N18-R18,0)</f>
        <v/>
      </c>
      <c r="U18" s="89">
        <f>M18-S18</f>
        <v/>
      </c>
      <c r="V18" s="6" t="n">
        <v>46181</v>
      </c>
    </row>
    <row r="19" hidden="1">
      <c r="A19" s="4" t="inlineStr">
        <is>
          <t>SAMSUNG GALAXY A36</t>
        </is>
      </c>
      <c r="C19" s="4" t="n">
        <v>53201</v>
      </c>
      <c r="D19" s="14" t="inlineStr">
        <is>
          <t xml:space="preserve">C08 - CMPC SAO GABRIEL MANUAL </t>
        </is>
      </c>
      <c r="G19" s="10" t="inlineStr">
        <is>
          <t>SUL</t>
        </is>
      </c>
      <c r="H19" s="4" t="inlineStr">
        <is>
          <t>RQCY706AGYK</t>
        </is>
      </c>
      <c r="L19" s="4" t="inlineStr">
        <is>
          <t xml:space="preserve">CEL0018   </t>
        </is>
      </c>
      <c r="M19" s="3" t="n">
        <v>1558</v>
      </c>
      <c r="N19" s="4" t="n">
        <v>60</v>
      </c>
      <c r="O19" s="88">
        <f>M19/N19</f>
        <v/>
      </c>
      <c r="P19" s="4" t="inlineStr">
        <is>
          <t>22/08/2025</t>
        </is>
      </c>
      <c r="R19" s="7">
        <f>ROUNDDOWN(((TODAY()-P19)/30)-1,0)</f>
        <v/>
      </c>
      <c r="S19" s="88">
        <f>O19*R19</f>
        <v/>
      </c>
      <c r="T19" s="7">
        <f>ROUNDUP(N19-R19,0)</f>
        <v/>
      </c>
      <c r="U19" s="89">
        <f>M19-S19</f>
        <v/>
      </c>
      <c r="V19" s="6" t="n">
        <v>46181</v>
      </c>
    </row>
    <row r="20" hidden="1">
      <c r="A20" s="4" t="inlineStr">
        <is>
          <t>SAMSUNG GALAXY A36</t>
        </is>
      </c>
      <c r="C20" s="4" t="n">
        <v>530</v>
      </c>
      <c r="D20" s="14" t="inlineStr">
        <is>
          <t>GESTAO OP RS</t>
        </is>
      </c>
      <c r="G20" s="10" t="inlineStr">
        <is>
          <t>SUL</t>
        </is>
      </c>
      <c r="H20" s="4" t="inlineStr">
        <is>
          <t>RQCY7069YHP</t>
        </is>
      </c>
      <c r="L20" s="4" t="inlineStr">
        <is>
          <t xml:space="preserve">CEL0019   </t>
        </is>
      </c>
      <c r="M20" s="3" t="n">
        <v>1558</v>
      </c>
      <c r="N20" s="4" t="n">
        <v>60</v>
      </c>
      <c r="O20" s="88">
        <f>M20/N20</f>
        <v/>
      </c>
      <c r="P20" s="4" t="inlineStr">
        <is>
          <t>22/08/2025</t>
        </is>
      </c>
      <c r="R20" s="7">
        <f>ROUNDDOWN(((TODAY()-P20)/30)-1,0)</f>
        <v/>
      </c>
      <c r="S20" s="88">
        <f>O20*R20</f>
        <v/>
      </c>
      <c r="T20" s="7">
        <f>ROUNDUP(N20-R20,0)</f>
        <v/>
      </c>
      <c r="U20" s="89">
        <f>M20-S20</f>
        <v/>
      </c>
      <c r="V20" s="6" t="n">
        <v>46181</v>
      </c>
    </row>
    <row r="21" hidden="1">
      <c r="A21" s="4" t="inlineStr">
        <is>
          <t>SAMSUNG GALAXY A36</t>
        </is>
      </c>
      <c r="C21" s="4" t="n">
        <v>53201</v>
      </c>
      <c r="D21" s="14" t="inlineStr">
        <is>
          <t xml:space="preserve">C08 - CMPC SAO GABRIEL MANUAL </t>
        </is>
      </c>
      <c r="G21" s="10" t="inlineStr">
        <is>
          <t>SUL</t>
        </is>
      </c>
      <c r="H21" s="4" t="inlineStr">
        <is>
          <t>RQCY7069WEL</t>
        </is>
      </c>
      <c r="L21" s="4" t="inlineStr">
        <is>
          <t xml:space="preserve">CEL0020   </t>
        </is>
      </c>
      <c r="M21" s="3" t="n">
        <v>1558</v>
      </c>
      <c r="N21" s="4" t="n">
        <v>60</v>
      </c>
      <c r="O21" s="88">
        <f>M21/N21</f>
        <v/>
      </c>
      <c r="P21" s="4" t="inlineStr">
        <is>
          <t>22/08/2025</t>
        </is>
      </c>
      <c r="R21" s="7">
        <f>ROUNDDOWN(((TODAY()-P21)/30)-1,0)</f>
        <v/>
      </c>
      <c r="S21" s="88">
        <f>O21*R21</f>
        <v/>
      </c>
      <c r="T21" s="7">
        <f>ROUNDUP(N21-R21,0)</f>
        <v/>
      </c>
      <c r="U21" s="89">
        <f>M21-S21</f>
        <v/>
      </c>
      <c r="V21" s="6" t="n">
        <v>46181</v>
      </c>
    </row>
    <row r="22" hidden="1">
      <c r="A22" s="4" t="inlineStr">
        <is>
          <t>SAMSUNG GALAXY A36</t>
        </is>
      </c>
      <c r="C22" s="4" t="n">
        <v>417</v>
      </c>
      <c r="D22" s="14" t="inlineStr">
        <is>
          <t xml:space="preserve">QUALIDADE SP3 </t>
        </is>
      </c>
      <c r="G22" s="10" t="inlineStr">
        <is>
          <t>NORTE</t>
        </is>
      </c>
      <c r="H22" s="4" t="inlineStr">
        <is>
          <t>RQCY800BV3F</t>
        </is>
      </c>
      <c r="L22" s="4" t="inlineStr">
        <is>
          <t xml:space="preserve">CEL0021   </t>
        </is>
      </c>
      <c r="M22" s="3" t="n">
        <v>1558</v>
      </c>
      <c r="N22" s="4" t="n">
        <v>60</v>
      </c>
      <c r="O22" s="88">
        <f>M22/N22</f>
        <v/>
      </c>
      <c r="P22" s="4" t="inlineStr">
        <is>
          <t>22/08/2025</t>
        </is>
      </c>
      <c r="R22" s="7">
        <f>ROUNDDOWN(((TODAY()-P22)/30)-1,0)</f>
        <v/>
      </c>
      <c r="S22" s="88">
        <f>O22*R22</f>
        <v/>
      </c>
      <c r="T22" s="7">
        <f>ROUNDUP(N22-R22,0)</f>
        <v/>
      </c>
      <c r="U22" s="89">
        <f>M22-S22</f>
        <v/>
      </c>
      <c r="V22" s="6" t="n">
        <v>46181</v>
      </c>
    </row>
    <row r="23" hidden="1">
      <c r="A23" s="4" t="inlineStr">
        <is>
          <t>SAMSUNG GALAXY A36</t>
        </is>
      </c>
      <c r="C23" s="4" t="n">
        <v>53201</v>
      </c>
      <c r="D23" s="14" t="inlineStr">
        <is>
          <t xml:space="preserve">C08 - CMPC SAO GABRIEL MANUAL </t>
        </is>
      </c>
      <c r="G23" s="10" t="inlineStr">
        <is>
          <t>SUL</t>
        </is>
      </c>
      <c r="H23" s="4" t="inlineStr">
        <is>
          <t>RQCY706BZYD</t>
        </is>
      </c>
      <c r="L23" s="4" t="inlineStr">
        <is>
          <t xml:space="preserve">CEL0022   </t>
        </is>
      </c>
      <c r="M23" s="3" t="n">
        <v>1558</v>
      </c>
      <c r="N23" s="4" t="n">
        <v>60</v>
      </c>
      <c r="O23" s="88">
        <f>M23/N23</f>
        <v/>
      </c>
      <c r="P23" s="4" t="inlineStr">
        <is>
          <t>22/08/2025</t>
        </is>
      </c>
      <c r="R23" s="7">
        <f>ROUNDDOWN(((TODAY()-P23)/30)-1,0)</f>
        <v/>
      </c>
      <c r="S23" s="88">
        <f>O23*R23</f>
        <v/>
      </c>
      <c r="T23" s="7">
        <f>ROUNDUP(N23-R23,0)</f>
        <v/>
      </c>
      <c r="U23" s="89">
        <f>M23-S23</f>
        <v/>
      </c>
      <c r="V23" s="6" t="n">
        <v>46181</v>
      </c>
    </row>
    <row r="24" hidden="1">
      <c r="A24" s="4" t="inlineStr">
        <is>
          <t>SAMSUNG GALAXY A36</t>
        </is>
      </c>
      <c r="C24" s="4" t="n">
        <v>2001</v>
      </c>
      <c r="D24" s="14" t="inlineStr">
        <is>
          <t>OFICINA MATRIZ</t>
        </is>
      </c>
      <c r="G24" s="10" t="inlineStr">
        <is>
          <t>SUPORTE OPERACIONAL</t>
        </is>
      </c>
      <c r="H24" s="4" t="inlineStr">
        <is>
          <t>RQCY90289QH</t>
        </is>
      </c>
      <c r="L24" s="4" t="inlineStr">
        <is>
          <t xml:space="preserve">CEL0023   </t>
        </is>
      </c>
      <c r="M24" s="3" t="n">
        <v>1335</v>
      </c>
      <c r="N24" s="4" t="n">
        <v>60</v>
      </c>
      <c r="O24" s="88">
        <f>M24/N24</f>
        <v/>
      </c>
      <c r="P24" s="4" t="inlineStr">
        <is>
          <t>25/09/2025</t>
        </is>
      </c>
      <c r="R24" s="7">
        <f>ROUNDDOWN(((TODAY()-P24)/30)-1,0)</f>
        <v/>
      </c>
      <c r="S24" s="88">
        <f>O24*R24</f>
        <v/>
      </c>
      <c r="T24" s="7">
        <f>ROUNDUP(N24-R24,0)</f>
        <v/>
      </c>
      <c r="U24" s="89">
        <f>M24-S24</f>
        <v/>
      </c>
      <c r="V24" s="6" t="n">
        <v>46181</v>
      </c>
    </row>
    <row r="25" hidden="1">
      <c r="A25" s="4" t="inlineStr">
        <is>
          <t>SAMSUNG GALAXY A36</t>
        </is>
      </c>
      <c r="C25" s="4" t="n">
        <v>10</v>
      </c>
      <c r="D25" s="14" t="inlineStr">
        <is>
          <t>RECURSOS HUMANOS</t>
        </is>
      </c>
      <c r="G25" s="10" t="inlineStr">
        <is>
          <t>CORPORATIVO</t>
        </is>
      </c>
      <c r="H25" s="4" t="inlineStr">
        <is>
          <t>RQCY902887V</t>
        </is>
      </c>
      <c r="L25" s="4" t="inlineStr">
        <is>
          <t xml:space="preserve">CEL0024   </t>
        </is>
      </c>
      <c r="M25" s="3" t="n">
        <v>1335</v>
      </c>
      <c r="N25" s="4" t="n">
        <v>60</v>
      </c>
      <c r="O25" s="88">
        <f>M25/N25</f>
        <v/>
      </c>
      <c r="P25" s="4" t="inlineStr">
        <is>
          <t>25/09/2025</t>
        </is>
      </c>
      <c r="R25" s="7">
        <f>ROUNDDOWN(((TODAY()-P25)/30)-1,0)</f>
        <v/>
      </c>
      <c r="S25" s="88">
        <f>O25*R25</f>
        <v/>
      </c>
      <c r="T25" s="7">
        <f>ROUNDUP(N25-R25,0)</f>
        <v/>
      </c>
      <c r="U25" s="89">
        <f>M25-S25</f>
        <v/>
      </c>
      <c r="V25" s="6" t="n">
        <v>46181</v>
      </c>
    </row>
    <row r="26" hidden="1">
      <c r="A26" s="4" t="inlineStr">
        <is>
          <t>SAMSUNG GALAXY A36</t>
        </is>
      </c>
      <c r="C26" s="4" t="n">
        <v>428</v>
      </c>
      <c r="D26" s="14" t="inlineStr">
        <is>
          <t xml:space="preserve">QUALIDADE SP2 </t>
        </is>
      </c>
      <c r="G26" s="10" t="inlineStr">
        <is>
          <t>LESTE</t>
        </is>
      </c>
      <c r="H26" s="4" t="inlineStr">
        <is>
          <t>RQCY9028CAP</t>
        </is>
      </c>
      <c r="L26" s="4" t="inlineStr">
        <is>
          <t xml:space="preserve">CEL0025   </t>
        </is>
      </c>
      <c r="M26" s="3" t="n">
        <v>1335</v>
      </c>
      <c r="N26" s="4" t="n">
        <v>60</v>
      </c>
      <c r="O26" s="88">
        <f>M26/N26</f>
        <v/>
      </c>
      <c r="P26" s="4" t="inlineStr">
        <is>
          <t>25/09/2025</t>
        </is>
      </c>
      <c r="R26" s="7">
        <f>ROUNDDOWN(((TODAY()-P26)/30)-1,0)</f>
        <v/>
      </c>
      <c r="S26" s="88">
        <f>O26*R26</f>
        <v/>
      </c>
      <c r="T26" s="7">
        <f>ROUNDUP(N26-R26,0)</f>
        <v/>
      </c>
      <c r="U26" s="89">
        <f>M26-S26</f>
        <v/>
      </c>
      <c r="V26" s="6" t="n">
        <v>46181</v>
      </c>
    </row>
    <row r="27" hidden="1">
      <c r="A27" s="4" t="inlineStr">
        <is>
          <t>SAMSUNG GALAXY A36</t>
        </is>
      </c>
      <c r="C27" s="4" t="n">
        <v>710</v>
      </c>
      <c r="D27" s="14" t="inlineStr">
        <is>
          <t>GESTAO DESENVOLVIMENTO OPERACIONAL</t>
        </is>
      </c>
      <c r="G27" s="10" t="inlineStr">
        <is>
          <t>PROJETOS</t>
        </is>
      </c>
      <c r="H27" s="4" t="inlineStr">
        <is>
          <t>RQCY9028QTP</t>
        </is>
      </c>
      <c r="L27" s="4" t="inlineStr">
        <is>
          <t xml:space="preserve">CEL0026   </t>
        </is>
      </c>
      <c r="M27" s="3" t="n">
        <v>1335</v>
      </c>
      <c r="N27" s="4" t="n">
        <v>60</v>
      </c>
      <c r="O27" s="88">
        <f>M27/N27</f>
        <v/>
      </c>
      <c r="P27" s="4" t="inlineStr">
        <is>
          <t>25/09/2025</t>
        </is>
      </c>
      <c r="R27" s="7">
        <f>ROUNDDOWN(((TODAY()-P27)/30)-1,0)</f>
        <v/>
      </c>
      <c r="S27" s="88">
        <f>O27*R27</f>
        <v/>
      </c>
      <c r="T27" s="7">
        <f>ROUNDUP(N27-R27,0)</f>
        <v/>
      </c>
      <c r="U27" s="89">
        <f>M27-S27</f>
        <v/>
      </c>
      <c r="V27" s="6" t="n">
        <v>46181</v>
      </c>
    </row>
    <row r="28" hidden="1">
      <c r="A28" s="4" t="inlineStr">
        <is>
          <t>SAMSUNG GALAXY A36</t>
        </is>
      </c>
      <c r="C28" s="4" t="n">
        <v>42301</v>
      </c>
      <c r="D28" s="14" t="inlineStr">
        <is>
          <t xml:space="preserve">C04 - SUZANO CACAPAVA </t>
        </is>
      </c>
      <c r="G28" s="10" t="inlineStr">
        <is>
          <t>LESTE</t>
        </is>
      </c>
      <c r="H28" s="4" t="inlineStr">
        <is>
          <t>RQCY706A3BK</t>
        </is>
      </c>
      <c r="L28" s="4" t="inlineStr">
        <is>
          <t xml:space="preserve">CEL0027   </t>
        </is>
      </c>
      <c r="M28" s="3" t="n">
        <v>1335</v>
      </c>
      <c r="N28" s="4" t="n">
        <v>60</v>
      </c>
      <c r="O28" s="88">
        <f>M28/N28</f>
        <v/>
      </c>
      <c r="P28" s="4" t="inlineStr">
        <is>
          <t>25/09/2025</t>
        </is>
      </c>
      <c r="R28" s="7">
        <f>ROUNDDOWN(((TODAY()-P28)/30)-1,0)</f>
        <v/>
      </c>
      <c r="S28" s="88">
        <f>O28*R28</f>
        <v/>
      </c>
      <c r="T28" s="7">
        <f>ROUNDUP(N28-R28,0)</f>
        <v/>
      </c>
      <c r="U28" s="89">
        <f>M28-S28</f>
        <v/>
      </c>
      <c r="V28" s="6" t="n">
        <v>46181</v>
      </c>
    </row>
    <row r="29" hidden="1">
      <c r="A29" s="4" t="inlineStr">
        <is>
          <t>SAMSUNG GALAXY A36</t>
        </is>
      </c>
      <c r="C29" s="4" t="n">
        <v>71100</v>
      </c>
      <c r="D29" s="14" t="inlineStr">
        <is>
          <t>P01 - ESCAVADEIRA HIDRAULICA</t>
        </is>
      </c>
      <c r="G29" s="10" t="inlineStr">
        <is>
          <t>LESTE</t>
        </is>
      </c>
      <c r="H29" s="4" t="inlineStr">
        <is>
          <t>RQCY9028BYE</t>
        </is>
      </c>
      <c r="L29" s="4" t="inlineStr">
        <is>
          <t xml:space="preserve">CEL0028   </t>
        </is>
      </c>
      <c r="M29" s="3" t="n">
        <v>1335</v>
      </c>
      <c r="N29" s="4" t="n">
        <v>60</v>
      </c>
      <c r="O29" s="88">
        <f>M29/N29</f>
        <v/>
      </c>
      <c r="P29" s="4" t="inlineStr">
        <is>
          <t>25/09/2025</t>
        </is>
      </c>
      <c r="R29" s="7">
        <f>ROUNDDOWN(((TODAY()-P29)/30)-1,0)</f>
        <v/>
      </c>
      <c r="S29" s="88">
        <f>O29*R29</f>
        <v/>
      </c>
      <c r="T29" s="7">
        <f>ROUNDUP(N29-R29,0)</f>
        <v/>
      </c>
      <c r="U29" s="89">
        <f>M29-S29</f>
        <v/>
      </c>
      <c r="V29" s="6" t="n">
        <v>46181</v>
      </c>
    </row>
    <row r="30" hidden="1">
      <c r="A30" s="4" t="inlineStr">
        <is>
          <t>SAMSUNG GALAXY A36</t>
        </is>
      </c>
      <c r="C30" s="4" t="n">
        <v>533</v>
      </c>
      <c r="D30" s="14" t="inlineStr">
        <is>
          <t>QUALIDADE RS</t>
        </is>
      </c>
      <c r="G30" s="10" t="inlineStr">
        <is>
          <t>SUL</t>
        </is>
      </c>
      <c r="H30" s="4" t="inlineStr">
        <is>
          <t>RQCY90277AN</t>
        </is>
      </c>
      <c r="L30" s="4" t="inlineStr">
        <is>
          <t xml:space="preserve">CEL0029   </t>
        </is>
      </c>
      <c r="M30" s="3" t="n">
        <v>1335</v>
      </c>
      <c r="N30" s="4" t="n">
        <v>60</v>
      </c>
      <c r="O30" s="88">
        <f>M30/N30</f>
        <v/>
      </c>
      <c r="P30" s="4" t="inlineStr">
        <is>
          <t>25/09/2025</t>
        </is>
      </c>
      <c r="R30" s="7">
        <f>ROUNDDOWN(((TODAY()-P30)/30)-1,0)</f>
        <v/>
      </c>
      <c r="S30" s="88">
        <f>O30*R30</f>
        <v/>
      </c>
      <c r="T30" s="7">
        <f>ROUNDUP(N30-R30,0)</f>
        <v/>
      </c>
      <c r="U30" s="89">
        <f>M30-S30</f>
        <v/>
      </c>
      <c r="V30" s="6" t="n">
        <v>46181</v>
      </c>
    </row>
    <row r="31" hidden="1">
      <c r="A31" s="4" t="inlineStr">
        <is>
          <t>SAMSUNG GALAXY A36</t>
        </is>
      </c>
      <c r="C31" s="4" t="n">
        <v>53201</v>
      </c>
      <c r="D31" s="14" t="inlineStr">
        <is>
          <t xml:space="preserve">C08 - CMPC SAO GABRIEL MANUAL </t>
        </is>
      </c>
      <c r="G31" s="10" t="inlineStr">
        <is>
          <t>SUL</t>
        </is>
      </c>
      <c r="H31" s="4" t="inlineStr">
        <is>
          <t>RQCY9028THP</t>
        </is>
      </c>
      <c r="L31" s="4" t="inlineStr">
        <is>
          <t xml:space="preserve">CEL0030   </t>
        </is>
      </c>
      <c r="M31" s="3" t="n">
        <v>1335</v>
      </c>
      <c r="N31" s="4" t="n">
        <v>60</v>
      </c>
      <c r="O31" s="88">
        <f>M31/N31</f>
        <v/>
      </c>
      <c r="P31" s="4" t="inlineStr">
        <is>
          <t>25/09/2025</t>
        </is>
      </c>
      <c r="R31" s="7">
        <f>ROUNDDOWN(((TODAY()-P31)/30)-1,0)</f>
        <v/>
      </c>
      <c r="S31" s="88">
        <f>O31*R31</f>
        <v/>
      </c>
      <c r="T31" s="7">
        <f>ROUNDUP(N31-R31,0)</f>
        <v/>
      </c>
      <c r="U31" s="89">
        <f>M31-S31</f>
        <v/>
      </c>
      <c r="V31" s="6" t="n">
        <v>46181</v>
      </c>
    </row>
    <row r="32" hidden="1">
      <c r="A32" s="4" t="inlineStr">
        <is>
          <t>SAMSUNG GALAXY A36</t>
        </is>
      </c>
      <c r="C32" s="4" t="n">
        <v>530</v>
      </c>
      <c r="D32" s="14" t="inlineStr">
        <is>
          <t>GESTAO OP RS</t>
        </is>
      </c>
      <c r="G32" s="10" t="inlineStr">
        <is>
          <t>SUL</t>
        </is>
      </c>
      <c r="H32" s="4" t="inlineStr">
        <is>
          <t>RQCY7069TNV</t>
        </is>
      </c>
      <c r="L32" s="4" t="inlineStr">
        <is>
          <t xml:space="preserve">CEL0031   </t>
        </is>
      </c>
      <c r="M32" s="3" t="n">
        <v>1335</v>
      </c>
      <c r="N32" s="4" t="n">
        <v>60</v>
      </c>
      <c r="O32" s="88">
        <f>M32/N32</f>
        <v/>
      </c>
      <c r="P32" s="4" t="inlineStr">
        <is>
          <t>25/09/2025</t>
        </is>
      </c>
      <c r="R32" s="7">
        <f>ROUNDDOWN(((TODAY()-P32)/30)-1,0)</f>
        <v/>
      </c>
      <c r="S32" s="88">
        <f>O32*R32</f>
        <v/>
      </c>
      <c r="T32" s="7">
        <f>ROUNDUP(N32-R32,0)</f>
        <v/>
      </c>
      <c r="U32" s="89">
        <f>M32-S32</f>
        <v/>
      </c>
      <c r="V32" s="6" t="n">
        <v>46181</v>
      </c>
    </row>
    <row r="33" hidden="1">
      <c r="A33" s="4" t="inlineStr">
        <is>
          <t>SAMSUNG GALAXY A36</t>
        </is>
      </c>
      <c r="C33" s="4" t="n">
        <v>53201</v>
      </c>
      <c r="D33" s="14" t="inlineStr">
        <is>
          <t xml:space="preserve">C08 - CMPC SAO GABRIEL MANUAL </t>
        </is>
      </c>
      <c r="G33" s="10" t="inlineStr">
        <is>
          <t>SUL</t>
        </is>
      </c>
      <c r="H33" s="4" t="inlineStr">
        <is>
          <t>RQCY9028NZF</t>
        </is>
      </c>
      <c r="L33" s="4" t="inlineStr">
        <is>
          <t xml:space="preserve">CEL0032   </t>
        </is>
      </c>
      <c r="M33" s="3" t="n">
        <v>1335</v>
      </c>
      <c r="N33" s="4" t="n">
        <v>60</v>
      </c>
      <c r="O33" s="88">
        <f>M33/N33</f>
        <v/>
      </c>
      <c r="P33" s="4" t="inlineStr">
        <is>
          <t>25/09/2025</t>
        </is>
      </c>
      <c r="R33" s="7">
        <f>ROUNDDOWN(((TODAY()-P33)/30)-1,0)</f>
        <v/>
      </c>
      <c r="S33" s="88">
        <f>O33*R33</f>
        <v/>
      </c>
      <c r="T33" s="7">
        <f>ROUNDUP(N33-R33,0)</f>
        <v/>
      </c>
      <c r="U33" s="89">
        <f>M33-S33</f>
        <v/>
      </c>
      <c r="V33" s="6" t="n">
        <v>46181</v>
      </c>
    </row>
    <row r="34">
      <c r="A34" s="4" t="inlineStr">
        <is>
          <t>SAMSUNG GALAXY A36</t>
        </is>
      </c>
      <c r="C34" s="4" t="n">
        <v>2191</v>
      </c>
      <c r="D34" s="14" t="inlineStr">
        <is>
          <t>SSMA NOVA MUTUM</t>
        </is>
      </c>
      <c r="G34" s="10" t="inlineStr">
        <is>
          <t>CORPORATIVO</t>
        </is>
      </c>
      <c r="H34" s="4" t="inlineStr">
        <is>
          <t>RQCY90285CH</t>
        </is>
      </c>
      <c r="L34" s="4" t="inlineStr">
        <is>
          <t xml:space="preserve">CEL0033   </t>
        </is>
      </c>
      <c r="M34" s="3" t="n">
        <v>1335</v>
      </c>
      <c r="N34" s="4" t="n">
        <v>60</v>
      </c>
      <c r="O34" s="88">
        <f>M34/N34</f>
        <v/>
      </c>
      <c r="P34" s="4" t="inlineStr">
        <is>
          <t>25/09/2025</t>
        </is>
      </c>
      <c r="R34" s="7">
        <f>ROUNDDOWN(((TODAY()-P34)/30)-1,0)</f>
        <v/>
      </c>
      <c r="S34" s="88">
        <f>O34*R34</f>
        <v/>
      </c>
      <c r="T34" s="7">
        <f>ROUNDUP(N34-R34,0)</f>
        <v/>
      </c>
      <c r="U34" s="89">
        <f>M34-S34</f>
        <v/>
      </c>
      <c r="V34" s="6" t="n">
        <v>46181</v>
      </c>
    </row>
    <row r="35" hidden="1">
      <c r="A35" s="4" t="inlineStr">
        <is>
          <t>SAMSUNG GALAXY A36</t>
        </is>
      </c>
      <c r="C35" s="4" t="n">
        <v>324</v>
      </c>
      <c r="D35" s="14" t="inlineStr">
        <is>
          <t xml:space="preserve">QUALIDADE MS1 </t>
        </is>
      </c>
      <c r="G35" s="10" t="inlineStr">
        <is>
          <t>NORTE</t>
        </is>
      </c>
      <c r="H35" s="4" t="inlineStr">
        <is>
          <t>RQCY9028BNL</t>
        </is>
      </c>
      <c r="L35" s="4" t="inlineStr">
        <is>
          <t xml:space="preserve">CEL0034   </t>
        </is>
      </c>
      <c r="M35" s="3" t="n">
        <v>1335</v>
      </c>
      <c r="N35" s="4" t="n">
        <v>60</v>
      </c>
      <c r="O35" s="88">
        <f>M35/N35</f>
        <v/>
      </c>
      <c r="P35" s="4" t="inlineStr">
        <is>
          <t>25/09/2025</t>
        </is>
      </c>
      <c r="R35" s="7">
        <f>ROUNDDOWN(((TODAY()-P35)/30)-1,0)</f>
        <v/>
      </c>
      <c r="S35" s="88">
        <f>O35*R35</f>
        <v/>
      </c>
      <c r="T35" s="7">
        <f>ROUNDUP(N35-R35,0)</f>
        <v/>
      </c>
      <c r="U35" s="89">
        <f>M35-S35</f>
        <v/>
      </c>
      <c r="V35" s="6" t="n">
        <v>46181</v>
      </c>
    </row>
    <row r="36" hidden="1">
      <c r="A36" s="4" t="inlineStr">
        <is>
          <t>SAMSUNG GALAXY A36</t>
        </is>
      </c>
      <c r="C36" s="4" t="n">
        <v>53201</v>
      </c>
      <c r="D36" s="14" t="inlineStr">
        <is>
          <t xml:space="preserve">C08 - CMPC SAO GABRIEL MANUAL </t>
        </is>
      </c>
      <c r="G36" s="10" t="inlineStr">
        <is>
          <t>SUL</t>
        </is>
      </c>
      <c r="H36" s="4" t="inlineStr">
        <is>
          <t>RQCY800BR2M</t>
        </is>
      </c>
      <c r="L36" s="4" t="inlineStr">
        <is>
          <t xml:space="preserve">CEL0035   </t>
        </is>
      </c>
      <c r="M36" s="3" t="n">
        <v>1335</v>
      </c>
      <c r="N36" s="4" t="n">
        <v>60</v>
      </c>
      <c r="O36" s="88">
        <f>M36/N36</f>
        <v/>
      </c>
      <c r="P36" s="4" t="inlineStr">
        <is>
          <t>25/09/2025</t>
        </is>
      </c>
      <c r="R36" s="7">
        <f>ROUNDDOWN(((TODAY()-P36)/30)-1,0)</f>
        <v/>
      </c>
      <c r="S36" s="88">
        <f>O36*R36</f>
        <v/>
      </c>
      <c r="T36" s="7">
        <f>ROUNDUP(N36-R36,0)</f>
        <v/>
      </c>
      <c r="U36" s="89">
        <f>M36-S36</f>
        <v/>
      </c>
      <c r="V36" s="6" t="n">
        <v>46181</v>
      </c>
    </row>
    <row r="37" hidden="1">
      <c r="A37" s="4" t="inlineStr">
        <is>
          <t>SAMSUNG GALAXY A36</t>
        </is>
      </c>
      <c r="C37" s="4" t="n">
        <v>41501</v>
      </c>
      <c r="D37" s="14" t="inlineStr">
        <is>
          <t>C03 - BRACELL ITATINGA</t>
        </is>
      </c>
      <c r="G37" s="10" t="inlineStr">
        <is>
          <t>NORTE</t>
        </is>
      </c>
      <c r="H37" s="4" t="inlineStr">
        <is>
          <t>RQCY9028QRR</t>
        </is>
      </c>
      <c r="L37" s="4" t="inlineStr">
        <is>
          <t xml:space="preserve">CEL0036   </t>
        </is>
      </c>
      <c r="M37" s="3" t="n">
        <v>1335</v>
      </c>
      <c r="N37" s="4" t="n">
        <v>60</v>
      </c>
      <c r="O37" s="88">
        <f>M37/N37</f>
        <v/>
      </c>
      <c r="P37" s="4" t="inlineStr">
        <is>
          <t>25/09/2025</t>
        </is>
      </c>
      <c r="R37" s="7">
        <f>ROUNDDOWN(((TODAY()-P37)/30)-1,0)</f>
        <v/>
      </c>
      <c r="S37" s="88">
        <f>O37*R37</f>
        <v/>
      </c>
      <c r="T37" s="7">
        <f>ROUNDUP(N37-R37,0)</f>
        <v/>
      </c>
      <c r="U37" s="89">
        <f>M37-S37</f>
        <v/>
      </c>
      <c r="V37" s="6" t="n">
        <v>46181</v>
      </c>
    </row>
    <row r="38" hidden="1">
      <c r="A38" s="4" t="inlineStr">
        <is>
          <t>SAMSUNG GALAXY A36</t>
        </is>
      </c>
      <c r="C38" s="4" t="n">
        <v>2001</v>
      </c>
      <c r="D38" s="14" t="inlineStr">
        <is>
          <t>OFICINA MATRIZ</t>
        </is>
      </c>
      <c r="G38" s="10" t="inlineStr">
        <is>
          <t>SUPORTE OPERACIONAL</t>
        </is>
      </c>
      <c r="H38" s="4" t="inlineStr">
        <is>
          <t>RQCY902840K</t>
        </is>
      </c>
      <c r="L38" s="4" t="inlineStr">
        <is>
          <t xml:space="preserve">CEL0037   </t>
        </is>
      </c>
      <c r="M38" s="3" t="n">
        <v>1335</v>
      </c>
      <c r="N38" s="4" t="n">
        <v>60</v>
      </c>
      <c r="O38" s="88">
        <f>M38/N38</f>
        <v/>
      </c>
      <c r="P38" s="4" t="inlineStr">
        <is>
          <t>25/09/2025</t>
        </is>
      </c>
      <c r="R38" s="7">
        <f>ROUNDDOWN(((TODAY()-P38)/30)-1,0)</f>
        <v/>
      </c>
      <c r="S38" s="88">
        <f>O38*R38</f>
        <v/>
      </c>
      <c r="T38" s="7">
        <f>ROUNDUP(N38-R38,0)</f>
        <v/>
      </c>
      <c r="U38" s="89">
        <f>M38-S38</f>
        <v/>
      </c>
      <c r="V38" s="6" t="n">
        <v>46181</v>
      </c>
    </row>
    <row r="39" hidden="1">
      <c r="A39" s="4" t="inlineStr">
        <is>
          <t>SAMSUNG GALAXY A36</t>
        </is>
      </c>
      <c r="C39" s="4" t="n">
        <v>42500</v>
      </c>
      <c r="D39" s="14" t="inlineStr">
        <is>
          <t>GESTAO OP SUZANO CBO</t>
        </is>
      </c>
      <c r="G39" s="10" t="inlineStr">
        <is>
          <t>LESTE</t>
        </is>
      </c>
      <c r="H39" s="4" t="inlineStr">
        <is>
          <t>RQCY90278HW</t>
        </is>
      </c>
      <c r="L39" s="4" t="inlineStr">
        <is>
          <t xml:space="preserve">CEL0038   </t>
        </is>
      </c>
      <c r="M39" s="3" t="n">
        <v>1335</v>
      </c>
      <c r="N39" s="4" t="n">
        <v>60</v>
      </c>
      <c r="O39" s="88">
        <f>M39/N39</f>
        <v/>
      </c>
      <c r="P39" s="4" t="inlineStr">
        <is>
          <t>25/09/2025</t>
        </is>
      </c>
      <c r="R39" s="7">
        <f>ROUNDDOWN(((TODAY()-P39)/30)-1,0)</f>
        <v/>
      </c>
      <c r="S39" s="88">
        <f>O39*R39</f>
        <v/>
      </c>
      <c r="T39" s="7">
        <f>ROUNDUP(N39-R39,0)</f>
        <v/>
      </c>
      <c r="U39" s="89">
        <f>M39-S39</f>
        <v/>
      </c>
      <c r="V39" s="6" t="n">
        <v>46181</v>
      </c>
    </row>
    <row r="40" hidden="1">
      <c r="A40" s="4" t="inlineStr">
        <is>
          <t>SAMSUNG GALAXY A36</t>
        </is>
      </c>
      <c r="C40" s="4" t="n">
        <v>53201</v>
      </c>
      <c r="D40" s="14" t="inlineStr">
        <is>
          <t xml:space="preserve">C08 - CMPC SAO GABRIEL MANUAL </t>
        </is>
      </c>
      <c r="G40" s="10" t="inlineStr">
        <is>
          <t>SUL</t>
        </is>
      </c>
      <c r="H40" s="4" t="inlineStr">
        <is>
          <t>RQCY505Q47A</t>
        </is>
      </c>
      <c r="L40" s="4" t="inlineStr">
        <is>
          <t xml:space="preserve">CEL0039   </t>
        </is>
      </c>
      <c r="M40" s="3" t="n">
        <v>1424</v>
      </c>
      <c r="N40" s="4" t="n">
        <v>60</v>
      </c>
      <c r="O40" s="88">
        <f>M40/N40</f>
        <v/>
      </c>
      <c r="P40" s="4" t="inlineStr">
        <is>
          <t>27/10/2025</t>
        </is>
      </c>
      <c r="R40" s="7">
        <f>ROUNDDOWN(((TODAY()-P40)/30)-1,0)</f>
        <v/>
      </c>
      <c r="S40" s="88">
        <f>O40*R40</f>
        <v/>
      </c>
      <c r="T40" s="7">
        <f>ROUNDUP(N40-R40,0)</f>
        <v/>
      </c>
      <c r="U40" s="89">
        <f>M40-S40</f>
        <v/>
      </c>
      <c r="V40" s="6" t="n">
        <v>46181</v>
      </c>
    </row>
    <row r="41" hidden="1">
      <c r="A41" s="4" t="inlineStr">
        <is>
          <t>SAMSUNG GALAXY A36</t>
        </is>
      </c>
      <c r="C41" s="4" t="n">
        <v>2140</v>
      </c>
      <c r="D41" s="14" t="inlineStr">
        <is>
          <t>SSMA SP2</t>
        </is>
      </c>
      <c r="G41" s="10" t="inlineStr">
        <is>
          <t>LESTE</t>
        </is>
      </c>
      <c r="H41" s="4" t="inlineStr">
        <is>
          <t>RQCY505Q44E</t>
        </is>
      </c>
      <c r="L41" s="4" t="inlineStr">
        <is>
          <t xml:space="preserve">CEL0040   </t>
        </is>
      </c>
      <c r="M41" s="3" t="n">
        <v>1424</v>
      </c>
      <c r="N41" s="4" t="n">
        <v>60</v>
      </c>
      <c r="O41" s="88">
        <f>M41/N41</f>
        <v/>
      </c>
      <c r="P41" s="4" t="inlineStr">
        <is>
          <t>27/10/2025</t>
        </is>
      </c>
      <c r="R41" s="7">
        <f>ROUNDDOWN(((TODAY()-P41)/30)-1,0)</f>
        <v/>
      </c>
      <c r="S41" s="88">
        <f>O41*R41</f>
        <v/>
      </c>
      <c r="T41" s="7">
        <f>ROUNDUP(N41-R41,0)</f>
        <v/>
      </c>
      <c r="U41" s="89">
        <f>M41-S41</f>
        <v/>
      </c>
      <c r="V41" s="6" t="n">
        <v>46181</v>
      </c>
    </row>
    <row r="42" hidden="1">
      <c r="A42" s="4" t="inlineStr">
        <is>
          <t>SAMSUNG GALAXY A36</t>
        </is>
      </c>
      <c r="C42" s="4" t="n">
        <v>42201</v>
      </c>
      <c r="D42" s="14" t="inlineStr">
        <is>
          <t xml:space="preserve">C04 - SUZANO SANTA BRANCA </t>
        </is>
      </c>
      <c r="G42" s="10" t="inlineStr">
        <is>
          <t>LESTE</t>
        </is>
      </c>
      <c r="H42" s="4" t="inlineStr">
        <is>
          <t>RQCY505Q46H</t>
        </is>
      </c>
      <c r="L42" s="4" t="inlineStr">
        <is>
          <t xml:space="preserve">CEL0041   </t>
        </is>
      </c>
      <c r="M42" s="3" t="n">
        <v>1424</v>
      </c>
      <c r="N42" s="4" t="n">
        <v>60</v>
      </c>
      <c r="O42" s="88">
        <f>M42/N42</f>
        <v/>
      </c>
      <c r="P42" s="4" t="inlineStr">
        <is>
          <t>27/10/2025</t>
        </is>
      </c>
      <c r="R42" s="7">
        <f>ROUNDDOWN(((TODAY()-P42)/30)-1,0)</f>
        <v/>
      </c>
      <c r="S42" s="88">
        <f>O42*R42</f>
        <v/>
      </c>
      <c r="T42" s="7">
        <f>ROUNDUP(N42-R42,0)</f>
        <v/>
      </c>
      <c r="U42" s="89">
        <f>M42-S42</f>
        <v/>
      </c>
      <c r="V42" s="6" t="n">
        <v>46181</v>
      </c>
    </row>
    <row r="43" hidden="1">
      <c r="A43" s="4" t="inlineStr">
        <is>
          <t>SAMSUNG GALAXY A36</t>
        </is>
      </c>
      <c r="C43" s="4" t="n">
        <v>42200</v>
      </c>
      <c r="D43" s="14" t="inlineStr">
        <is>
          <t>GESTAO OP SANTA BRANCA</t>
        </is>
      </c>
      <c r="G43" s="10" t="inlineStr">
        <is>
          <t>LESTE</t>
        </is>
      </c>
      <c r="H43" s="4" t="inlineStr">
        <is>
          <t>RQCY505KMKD</t>
        </is>
      </c>
      <c r="L43" s="4" t="inlineStr">
        <is>
          <t xml:space="preserve">CEL0042   </t>
        </is>
      </c>
      <c r="M43" s="3" t="n">
        <v>1424</v>
      </c>
      <c r="N43" s="4" t="n">
        <v>60</v>
      </c>
      <c r="O43" s="88">
        <f>M43/N43</f>
        <v/>
      </c>
      <c r="P43" s="4" t="inlineStr">
        <is>
          <t>27/10/2025</t>
        </is>
      </c>
      <c r="R43" s="7">
        <f>ROUNDDOWN(((TODAY()-P43)/30)-1,0)</f>
        <v/>
      </c>
      <c r="S43" s="88">
        <f>O43*R43</f>
        <v/>
      </c>
      <c r="T43" s="7">
        <f>ROUNDUP(N43-R43,0)</f>
        <v/>
      </c>
      <c r="U43" s="89">
        <f>M43-S43</f>
        <v/>
      </c>
      <c r="V43" s="6" t="n">
        <v>46181</v>
      </c>
    </row>
    <row r="44" hidden="1">
      <c r="A44" s="4" t="inlineStr">
        <is>
          <t>SAMSUNG GALAXY A36</t>
        </is>
      </c>
      <c r="C44" s="4" t="n">
        <v>320</v>
      </c>
      <c r="D44" s="14" t="inlineStr">
        <is>
          <t xml:space="preserve">GESTAO OP MS1 </t>
        </is>
      </c>
      <c r="G44" s="10" t="inlineStr">
        <is>
          <t>NORTE</t>
        </is>
      </c>
      <c r="H44" s="4" t="inlineStr">
        <is>
          <t>RQCY505Q1CD</t>
        </is>
      </c>
      <c r="L44" s="4" t="inlineStr">
        <is>
          <t xml:space="preserve">CEL0043   </t>
        </is>
      </c>
      <c r="M44" s="3" t="n">
        <v>1424</v>
      </c>
      <c r="N44" s="4" t="n">
        <v>60</v>
      </c>
      <c r="O44" s="88">
        <f>M44/N44</f>
        <v/>
      </c>
      <c r="P44" s="4" t="inlineStr">
        <is>
          <t>27/10/2025</t>
        </is>
      </c>
      <c r="R44" s="7">
        <f>ROUNDDOWN(((TODAY()-P44)/30)-1,0)</f>
        <v/>
      </c>
      <c r="S44" s="88">
        <f>O44*R44</f>
        <v/>
      </c>
      <c r="T44" s="7">
        <f>ROUNDUP(N44-R44,0)</f>
        <v/>
      </c>
      <c r="U44" s="89">
        <f>M44-S44</f>
        <v/>
      </c>
      <c r="V44" s="6" t="n">
        <v>46181</v>
      </c>
    </row>
    <row r="45" hidden="1">
      <c r="A45" s="4" t="inlineStr">
        <is>
          <t>SAMSUNG GALAXY A36</t>
        </is>
      </c>
      <c r="C45" s="4" t="n">
        <v>10</v>
      </c>
      <c r="D45" s="14" t="inlineStr">
        <is>
          <t>RECURSOS HUMANOS</t>
        </is>
      </c>
      <c r="G45" s="10" t="inlineStr">
        <is>
          <t>CORPORATIVO</t>
        </is>
      </c>
      <c r="H45" s="4" t="inlineStr">
        <is>
          <t>RQCY505Q8AB</t>
        </is>
      </c>
      <c r="L45" s="4" t="inlineStr">
        <is>
          <t xml:space="preserve">CEL0044   </t>
        </is>
      </c>
      <c r="M45" s="3" t="n">
        <v>1424</v>
      </c>
      <c r="N45" s="4" t="n">
        <v>60</v>
      </c>
      <c r="O45" s="88">
        <f>M45/N45</f>
        <v/>
      </c>
      <c r="P45" s="4" t="inlineStr">
        <is>
          <t>27/10/2025</t>
        </is>
      </c>
      <c r="R45" s="7">
        <f>ROUNDDOWN(((TODAY()-P45)/30)-1,0)</f>
        <v/>
      </c>
      <c r="S45" s="88">
        <f>O45*R45</f>
        <v/>
      </c>
      <c r="T45" s="7">
        <f>ROUNDUP(N45-R45,0)</f>
        <v/>
      </c>
      <c r="U45" s="89">
        <f>M45-S45</f>
        <v/>
      </c>
      <c r="V45" s="6" t="n">
        <v>46181</v>
      </c>
    </row>
    <row r="46" hidden="1">
      <c r="A46" s="4" t="inlineStr">
        <is>
          <t>SAMSUNG GALAXY A36</t>
        </is>
      </c>
      <c r="C46" s="4" t="n">
        <v>2160</v>
      </c>
      <c r="D46" s="14" t="inlineStr">
        <is>
          <t>SSMA PR2</t>
        </is>
      </c>
      <c r="G46" s="10" t="inlineStr">
        <is>
          <t>SUL</t>
        </is>
      </c>
      <c r="H46" s="4" t="inlineStr">
        <is>
          <t>RQCY505Q10X</t>
        </is>
      </c>
      <c r="L46" s="4" t="inlineStr">
        <is>
          <t xml:space="preserve">CEL0045   </t>
        </is>
      </c>
      <c r="M46" s="3" t="n">
        <v>1424</v>
      </c>
      <c r="N46" s="4" t="n">
        <v>60</v>
      </c>
      <c r="O46" s="88">
        <f>M46/N46</f>
        <v/>
      </c>
      <c r="P46" s="4" t="inlineStr">
        <is>
          <t>27/10/2025</t>
        </is>
      </c>
      <c r="R46" s="7">
        <f>ROUNDDOWN(((TODAY()-P46)/30)-1,0)</f>
        <v/>
      </c>
      <c r="S46" s="88">
        <f>O46*R46</f>
        <v/>
      </c>
      <c r="T46" s="7">
        <f>ROUNDUP(N46-R46,0)</f>
        <v/>
      </c>
      <c r="U46" s="89">
        <f>M46-S46</f>
        <v/>
      </c>
      <c r="V46" s="6" t="n">
        <v>46181</v>
      </c>
    </row>
    <row r="47" hidden="1">
      <c r="A47" s="4" t="inlineStr">
        <is>
          <t>SAMSUNG GALAXY A36</t>
        </is>
      </c>
      <c r="C47" s="4" t="n">
        <v>53201</v>
      </c>
      <c r="D47" s="14" t="inlineStr">
        <is>
          <t xml:space="preserve">C08 - CMPC SAO GABRIEL MANUAL </t>
        </is>
      </c>
      <c r="G47" s="10" t="inlineStr">
        <is>
          <t>SUL</t>
        </is>
      </c>
      <c r="H47" s="4" t="inlineStr">
        <is>
          <t>RQCY505Q82X</t>
        </is>
      </c>
      <c r="L47" s="4" t="inlineStr">
        <is>
          <t xml:space="preserve">CEL0046   </t>
        </is>
      </c>
      <c r="M47" s="3" t="n">
        <v>1424</v>
      </c>
      <c r="N47" s="4" t="n">
        <v>60</v>
      </c>
      <c r="O47" s="88">
        <f>M47/N47</f>
        <v/>
      </c>
      <c r="P47" s="4" t="inlineStr">
        <is>
          <t>27/10/2025</t>
        </is>
      </c>
      <c r="R47" s="7">
        <f>ROUNDDOWN(((TODAY()-P47)/30)-1,0)</f>
        <v/>
      </c>
      <c r="S47" s="88">
        <f>O47*R47</f>
        <v/>
      </c>
      <c r="T47" s="7">
        <f>ROUNDUP(N47-R47,0)</f>
        <v/>
      </c>
      <c r="U47" s="89">
        <f>M47-S47</f>
        <v/>
      </c>
      <c r="V47" s="6" t="n">
        <v>46181</v>
      </c>
    </row>
    <row r="48" hidden="1">
      <c r="A48" s="4" t="inlineStr">
        <is>
          <t>SAMSUNG GALAXY A36</t>
        </is>
      </c>
      <c r="C48" s="4" t="n">
        <v>2170</v>
      </c>
      <c r="D48" s="14" t="inlineStr">
        <is>
          <t xml:space="preserve">SSMA RS </t>
        </is>
      </c>
      <c r="G48" s="10" t="inlineStr">
        <is>
          <t>SUL</t>
        </is>
      </c>
      <c r="H48" s="4" t="inlineStr">
        <is>
          <t>RQCY505Q15P</t>
        </is>
      </c>
      <c r="L48" s="4" t="inlineStr">
        <is>
          <t xml:space="preserve">CEL0047   </t>
        </is>
      </c>
      <c r="M48" s="3" t="n">
        <v>1424</v>
      </c>
      <c r="N48" s="4" t="n">
        <v>60</v>
      </c>
      <c r="O48" s="88">
        <f>M48/N48</f>
        <v/>
      </c>
      <c r="P48" s="4" t="inlineStr">
        <is>
          <t>27/10/2025</t>
        </is>
      </c>
      <c r="R48" s="7">
        <f>ROUNDDOWN(((TODAY()-P48)/30)-1,0)</f>
        <v/>
      </c>
      <c r="S48" s="88">
        <f>O48*R48</f>
        <v/>
      </c>
      <c r="T48" s="7">
        <f>ROUNDUP(N48-R48,0)</f>
        <v/>
      </c>
      <c r="U48" s="89">
        <f>M48-S48</f>
        <v/>
      </c>
      <c r="V48" s="6" t="n">
        <v>46181</v>
      </c>
    </row>
    <row r="49" hidden="1">
      <c r="A49" s="4" t="inlineStr">
        <is>
          <t>SAMSUNG GALAXY A36</t>
        </is>
      </c>
      <c r="C49" s="4" t="n">
        <v>2170</v>
      </c>
      <c r="D49" s="14" t="inlineStr">
        <is>
          <t xml:space="preserve">SSMA RS </t>
        </is>
      </c>
      <c r="G49" s="10" t="inlineStr">
        <is>
          <t>SUL</t>
        </is>
      </c>
      <c r="H49" s="4" t="inlineStr">
        <is>
          <t>RQCY505Q8ED</t>
        </is>
      </c>
      <c r="L49" s="4" t="inlineStr">
        <is>
          <t xml:space="preserve">CEL0048   </t>
        </is>
      </c>
      <c r="M49" s="3" t="n">
        <v>1424</v>
      </c>
      <c r="N49" s="4" t="n">
        <v>60</v>
      </c>
      <c r="O49" s="88">
        <f>M49/N49</f>
        <v/>
      </c>
      <c r="P49" s="4" t="inlineStr">
        <is>
          <t>27/10/2025</t>
        </is>
      </c>
      <c r="R49" s="7">
        <f>ROUNDDOWN(((TODAY()-P49)/30)-1,0)</f>
        <v/>
      </c>
      <c r="S49" s="88">
        <f>O49*R49</f>
        <v/>
      </c>
      <c r="T49" s="7">
        <f>ROUNDUP(N49-R49,0)</f>
        <v/>
      </c>
      <c r="U49" s="89">
        <f>M49-S49</f>
        <v/>
      </c>
      <c r="V49" s="6" t="n">
        <v>46181</v>
      </c>
    </row>
    <row r="50" hidden="1">
      <c r="A50" s="4" t="inlineStr">
        <is>
          <t>SAMSUNG GALAXY A36</t>
        </is>
      </c>
      <c r="C50" s="4" t="n">
        <v>10</v>
      </c>
      <c r="D50" s="14" t="inlineStr">
        <is>
          <t>RECURSOS HUMANOS</t>
        </is>
      </c>
      <c r="G50" s="10" t="inlineStr">
        <is>
          <t>CORPORATIVO</t>
        </is>
      </c>
      <c r="H50" s="4" t="inlineStr">
        <is>
          <t>RQCY505QAQH</t>
        </is>
      </c>
      <c r="L50" s="4" t="inlineStr">
        <is>
          <t xml:space="preserve">CEL0049   </t>
        </is>
      </c>
      <c r="M50" s="3" t="n">
        <v>1424</v>
      </c>
      <c r="N50" s="4" t="n">
        <v>60</v>
      </c>
      <c r="O50" s="88">
        <f>M50/N50</f>
        <v/>
      </c>
      <c r="P50" s="4" t="inlineStr">
        <is>
          <t>27/10/2025</t>
        </is>
      </c>
      <c r="R50" s="7">
        <f>ROUNDDOWN(((TODAY()-P50)/30)-1,0)</f>
        <v/>
      </c>
      <c r="S50" s="88">
        <f>O50*R50</f>
        <v/>
      </c>
      <c r="T50" s="7">
        <f>ROUNDUP(N50-R50,0)</f>
        <v/>
      </c>
      <c r="U50" s="89">
        <f>M50-S50</f>
        <v/>
      </c>
      <c r="V50" s="6" t="n">
        <v>46181</v>
      </c>
    </row>
    <row r="51" hidden="1">
      <c r="A51" s="4" t="inlineStr">
        <is>
          <t>SAMSUNG GALAXY A36</t>
        </is>
      </c>
      <c r="C51" s="4" t="n">
        <v>41601</v>
      </c>
      <c r="D51" s="14" t="inlineStr">
        <is>
          <t>C03 - EUCATEX ITATINGA</t>
        </is>
      </c>
      <c r="G51" s="10" t="inlineStr">
        <is>
          <t>NORTE</t>
        </is>
      </c>
      <c r="H51" s="4" t="inlineStr">
        <is>
          <t>RQCY505QAVT</t>
        </is>
      </c>
      <c r="L51" s="4" t="inlineStr">
        <is>
          <t xml:space="preserve">CEL0050   </t>
        </is>
      </c>
      <c r="M51" s="3" t="n">
        <v>1424</v>
      </c>
      <c r="N51" s="4" t="n">
        <v>60</v>
      </c>
      <c r="O51" s="88">
        <f>M51/N51</f>
        <v/>
      </c>
      <c r="P51" s="4" t="inlineStr">
        <is>
          <t>27/10/2025</t>
        </is>
      </c>
      <c r="R51" s="7">
        <f>ROUNDDOWN(((TODAY()-P51)/30)-1,0)</f>
        <v/>
      </c>
      <c r="S51" s="88">
        <f>O51*R51</f>
        <v/>
      </c>
      <c r="T51" s="7">
        <f>ROUNDUP(N51-R51,0)</f>
        <v/>
      </c>
      <c r="U51" s="89">
        <f>M51-S51</f>
        <v/>
      </c>
      <c r="V51" s="6" t="n">
        <v>46181</v>
      </c>
    </row>
    <row r="52" hidden="1">
      <c r="A52" s="4" t="inlineStr">
        <is>
          <t>SAMSUNG GALAXY A36</t>
        </is>
      </c>
      <c r="C52" s="4" t="n">
        <v>41600</v>
      </c>
      <c r="D52" s="14" t="inlineStr">
        <is>
          <t>GESTAO OP EUCATEX ITATINGA</t>
        </is>
      </c>
      <c r="G52" s="10" t="inlineStr">
        <is>
          <t>NORTE</t>
        </is>
      </c>
      <c r="H52" s="4" t="inlineStr">
        <is>
          <t>RQCY505Q4JR</t>
        </is>
      </c>
      <c r="L52" s="4" t="inlineStr">
        <is>
          <t xml:space="preserve">CEL0051   </t>
        </is>
      </c>
      <c r="M52" s="3" t="n">
        <v>1424</v>
      </c>
      <c r="N52" s="4" t="n">
        <v>60</v>
      </c>
      <c r="O52" s="88">
        <f>M52/N52</f>
        <v/>
      </c>
      <c r="P52" s="4" t="inlineStr">
        <is>
          <t>27/10/2025</t>
        </is>
      </c>
      <c r="R52" s="7">
        <f>ROUNDDOWN(((TODAY()-P52)/30)-1,0)</f>
        <v/>
      </c>
      <c r="S52" s="88">
        <f>O52*R52</f>
        <v/>
      </c>
      <c r="T52" s="7">
        <f>ROUNDUP(N52-R52,0)</f>
        <v/>
      </c>
      <c r="U52" s="89">
        <f>M52-S52</f>
        <v/>
      </c>
      <c r="V52" s="6" t="n">
        <v>46181</v>
      </c>
    </row>
    <row r="53" hidden="1">
      <c r="A53" s="4" t="inlineStr">
        <is>
          <t>SAMSUNG GALAXY A36</t>
        </is>
      </c>
      <c r="C53" s="4" t="n">
        <v>32301</v>
      </c>
      <c r="D53" s="14" t="inlineStr">
        <is>
          <t xml:space="preserve">C07 - SUZANO MANUTENCAO TRES LAGOAS </t>
        </is>
      </c>
      <c r="G53" s="10" t="inlineStr">
        <is>
          <t>NORTE</t>
        </is>
      </c>
      <c r="H53" s="4" t="inlineStr">
        <is>
          <t>RQCY505Q16V</t>
        </is>
      </c>
      <c r="L53" s="4" t="inlineStr">
        <is>
          <t xml:space="preserve">CEL0052   </t>
        </is>
      </c>
      <c r="M53" s="3" t="n">
        <v>1424</v>
      </c>
      <c r="N53" s="4" t="n">
        <v>60</v>
      </c>
      <c r="O53" s="88">
        <f>M53/N53</f>
        <v/>
      </c>
      <c r="P53" s="4" t="inlineStr">
        <is>
          <t>27/10/2025</t>
        </is>
      </c>
      <c r="R53" s="7">
        <f>ROUNDDOWN(((TODAY()-P53)/30)-1,0)</f>
        <v/>
      </c>
      <c r="S53" s="88">
        <f>O53*R53</f>
        <v/>
      </c>
      <c r="T53" s="7">
        <f>ROUNDUP(N53-R53,0)</f>
        <v/>
      </c>
      <c r="U53" s="89">
        <f>M53-S53</f>
        <v/>
      </c>
      <c r="V53" s="6" t="n">
        <v>46181</v>
      </c>
    </row>
    <row r="54" hidden="1">
      <c r="A54" s="4" t="inlineStr">
        <is>
          <t>SAMSUNG GALAXY A36</t>
        </is>
      </c>
      <c r="C54" s="4" t="n">
        <v>10</v>
      </c>
      <c r="D54" s="14" t="inlineStr">
        <is>
          <t>RECURSOS HUMANOS</t>
        </is>
      </c>
      <c r="G54" s="10" t="inlineStr">
        <is>
          <t>CORPORATIVO</t>
        </is>
      </c>
      <c r="H54" s="4" t="inlineStr">
        <is>
          <t>RQCY505QASW</t>
        </is>
      </c>
      <c r="L54" s="4" t="inlineStr">
        <is>
          <t xml:space="preserve">CEL0053   </t>
        </is>
      </c>
      <c r="M54" s="3" t="n">
        <v>1424</v>
      </c>
      <c r="N54" s="4" t="n">
        <v>60</v>
      </c>
      <c r="O54" s="88">
        <f>M54/N54</f>
        <v/>
      </c>
      <c r="P54" s="4" t="inlineStr">
        <is>
          <t>27/10/2025</t>
        </is>
      </c>
      <c r="R54" s="7">
        <f>ROUNDDOWN(((TODAY()-P54)/30)-1,0)</f>
        <v/>
      </c>
      <c r="S54" s="88">
        <f>O54*R54</f>
        <v/>
      </c>
      <c r="T54" s="7">
        <f>ROUNDUP(N54-R54,0)</f>
        <v/>
      </c>
      <c r="U54" s="89">
        <f>M54-S54</f>
        <v/>
      </c>
      <c r="V54" s="6" t="n">
        <v>46181</v>
      </c>
    </row>
    <row r="55" hidden="1">
      <c r="A55" s="4" t="inlineStr">
        <is>
          <t>SAMSUNG GALAXY A36</t>
        </is>
      </c>
      <c r="C55" s="4" t="n">
        <v>53201</v>
      </c>
      <c r="D55" s="14" t="inlineStr">
        <is>
          <t xml:space="preserve">C08 - CMPC SAO GABRIEL MANUAL </t>
        </is>
      </c>
      <c r="G55" s="10" t="inlineStr">
        <is>
          <t>SUL</t>
        </is>
      </c>
      <c r="H55" s="4" t="inlineStr">
        <is>
          <t>RQCY505Q8GE</t>
        </is>
      </c>
      <c r="L55" s="4" t="inlineStr">
        <is>
          <t xml:space="preserve">CEL0054   </t>
        </is>
      </c>
      <c r="M55" s="3" t="n">
        <v>1424</v>
      </c>
      <c r="N55" s="4" t="n">
        <v>60</v>
      </c>
      <c r="O55" s="88">
        <f>M55/N55</f>
        <v/>
      </c>
      <c r="P55" s="4" t="inlineStr">
        <is>
          <t>27/10/2025</t>
        </is>
      </c>
      <c r="R55" s="7">
        <f>ROUNDDOWN(((TODAY()-P55)/30)-1,0)</f>
        <v/>
      </c>
      <c r="S55" s="88">
        <f>O55*R55</f>
        <v/>
      </c>
      <c r="T55" s="7">
        <f>ROUNDUP(N55-R55,0)</f>
        <v/>
      </c>
      <c r="U55" s="89">
        <f>M55-S55</f>
        <v/>
      </c>
      <c r="V55" s="6" t="n">
        <v>46181</v>
      </c>
    </row>
    <row r="56" hidden="1">
      <c r="A56" s="4" t="inlineStr">
        <is>
          <t>SAMSUNG GALAXY A36</t>
        </is>
      </c>
      <c r="C56" s="4" t="n">
        <v>51401</v>
      </c>
      <c r="D56" s="14" t="inlineStr">
        <is>
          <t xml:space="preserve">C13 - KLABIN PR ESTEIRA </t>
        </is>
      </c>
      <c r="G56" s="10" t="inlineStr">
        <is>
          <t>SUL</t>
        </is>
      </c>
      <c r="H56" s="4" t="inlineStr">
        <is>
          <t>RQCY505Q4BF</t>
        </is>
      </c>
      <c r="L56" s="4" t="inlineStr">
        <is>
          <t xml:space="preserve">CEL0055   </t>
        </is>
      </c>
      <c r="M56" s="3" t="n">
        <v>1424</v>
      </c>
      <c r="N56" s="4" t="n">
        <v>60</v>
      </c>
      <c r="O56" s="88">
        <f>M56/N56</f>
        <v/>
      </c>
      <c r="P56" s="4" t="inlineStr">
        <is>
          <t>27/10/2025</t>
        </is>
      </c>
      <c r="R56" s="7">
        <f>ROUNDDOWN(((TODAY()-P56)/30)-1,0)</f>
        <v/>
      </c>
      <c r="S56" s="88">
        <f>O56*R56</f>
        <v/>
      </c>
      <c r="T56" s="7">
        <f>ROUNDUP(N56-R56,0)</f>
        <v/>
      </c>
      <c r="U56" s="89">
        <f>M56-S56</f>
        <v/>
      </c>
      <c r="V56" s="6" t="n">
        <v>46181</v>
      </c>
    </row>
    <row r="57" hidden="1">
      <c r="A57" s="4" t="inlineStr">
        <is>
          <t>SAMSUNG GALAXY A36</t>
        </is>
      </c>
      <c r="C57" s="4" t="n">
        <v>51401</v>
      </c>
      <c r="D57" s="14" t="inlineStr">
        <is>
          <t xml:space="preserve">C13 - KLABIN PR ESTEIRA </t>
        </is>
      </c>
      <c r="G57" s="10" t="inlineStr">
        <is>
          <t>SUL</t>
        </is>
      </c>
      <c r="H57" s="4" t="inlineStr">
        <is>
          <t>RQCY505Q8FL</t>
        </is>
      </c>
      <c r="L57" s="4" t="inlineStr">
        <is>
          <t xml:space="preserve">CEL0056   </t>
        </is>
      </c>
      <c r="M57" s="3" t="n">
        <v>1424</v>
      </c>
      <c r="N57" s="4" t="n">
        <v>60</v>
      </c>
      <c r="O57" s="88">
        <f>M57/N57</f>
        <v/>
      </c>
      <c r="P57" s="4" t="inlineStr">
        <is>
          <t>27/10/2025</t>
        </is>
      </c>
      <c r="R57" s="7">
        <f>ROUNDDOWN(((TODAY()-P57)/30)-1,0)</f>
        <v/>
      </c>
      <c r="S57" s="88">
        <f>O57*R57</f>
        <v/>
      </c>
      <c r="T57" s="7">
        <f>ROUNDUP(N57-R57,0)</f>
        <v/>
      </c>
      <c r="U57" s="89">
        <f>M57-S57</f>
        <v/>
      </c>
      <c r="V57" s="6" t="n">
        <v>46181</v>
      </c>
    </row>
    <row r="58" hidden="1">
      <c r="A58" s="4" t="inlineStr">
        <is>
          <t>SAMSUNG GALAXY A36</t>
        </is>
      </c>
      <c r="C58" s="4" t="n">
        <v>51401</v>
      </c>
      <c r="D58" s="14" t="inlineStr">
        <is>
          <t xml:space="preserve">C13 - KLABIN PR ESTEIRA </t>
        </is>
      </c>
      <c r="G58" s="10" t="inlineStr">
        <is>
          <t>SUL</t>
        </is>
      </c>
      <c r="H58" s="4" t="inlineStr">
        <is>
          <t>RQCY505Q81W</t>
        </is>
      </c>
      <c r="L58" s="4" t="inlineStr">
        <is>
          <t xml:space="preserve">CEL0057   </t>
        </is>
      </c>
      <c r="M58" s="3" t="n">
        <v>1424</v>
      </c>
      <c r="N58" s="4" t="n">
        <v>60</v>
      </c>
      <c r="O58" s="88">
        <f>M58/N58</f>
        <v/>
      </c>
      <c r="P58" s="4" t="inlineStr">
        <is>
          <t>27/10/2025</t>
        </is>
      </c>
      <c r="R58" s="7">
        <f>ROUNDDOWN(((TODAY()-P58)/30)-1,0)</f>
        <v/>
      </c>
      <c r="S58" s="88">
        <f>O58*R58</f>
        <v/>
      </c>
      <c r="T58" s="7">
        <f>ROUNDUP(N58-R58,0)</f>
        <v/>
      </c>
      <c r="U58" s="89">
        <f>M58-S58</f>
        <v/>
      </c>
      <c r="V58" s="6" t="n">
        <v>46181</v>
      </c>
    </row>
    <row r="59" hidden="1">
      <c r="A59" s="4" t="inlineStr">
        <is>
          <t>SAMSUNG GALAXY A36</t>
        </is>
      </c>
      <c r="C59" s="4" t="n">
        <v>51401</v>
      </c>
      <c r="D59" s="14" t="inlineStr">
        <is>
          <t xml:space="preserve">C13 - KLABIN PR ESTEIRA </t>
        </is>
      </c>
      <c r="G59" s="10" t="inlineStr">
        <is>
          <t>SUL</t>
        </is>
      </c>
      <c r="H59" s="4" t="inlineStr">
        <is>
          <t>RQCY505Q7EK</t>
        </is>
      </c>
      <c r="L59" s="4" t="inlineStr">
        <is>
          <t xml:space="preserve">CEL0058   </t>
        </is>
      </c>
      <c r="M59" s="3" t="n">
        <v>1424</v>
      </c>
      <c r="N59" s="4" t="n">
        <v>60</v>
      </c>
      <c r="O59" s="88">
        <f>M59/N59</f>
        <v/>
      </c>
      <c r="P59" s="4" t="inlineStr">
        <is>
          <t>27/10/2025</t>
        </is>
      </c>
      <c r="R59" s="7">
        <f>ROUNDDOWN(((TODAY()-P59)/30)-1,0)</f>
        <v/>
      </c>
      <c r="S59" s="88">
        <f>O59*R59</f>
        <v/>
      </c>
      <c r="T59" s="7">
        <f>ROUNDUP(N59-R59,0)</f>
        <v/>
      </c>
      <c r="U59" s="89">
        <f>M59-S59</f>
        <v/>
      </c>
      <c r="V59" s="6" t="n">
        <v>46181</v>
      </c>
    </row>
    <row r="60" hidden="1">
      <c r="A60" s="4" t="inlineStr">
        <is>
          <t>SAMSUNG GALAXY A36</t>
        </is>
      </c>
      <c r="C60" s="4" t="n">
        <v>51401</v>
      </c>
      <c r="D60" s="14" t="inlineStr">
        <is>
          <t xml:space="preserve">C13 - KLABIN PR ESTEIRA </t>
        </is>
      </c>
      <c r="G60" s="10" t="inlineStr">
        <is>
          <t>SUL</t>
        </is>
      </c>
      <c r="H60" s="4" t="inlineStr">
        <is>
          <t>RQCY505Q2LA</t>
        </is>
      </c>
      <c r="L60" s="4" t="inlineStr">
        <is>
          <t xml:space="preserve">CEL0059   </t>
        </is>
      </c>
      <c r="M60" s="3" t="n">
        <v>1424</v>
      </c>
      <c r="N60" s="4" t="n">
        <v>60</v>
      </c>
      <c r="O60" s="88">
        <f>M60/N60</f>
        <v/>
      </c>
      <c r="P60" s="4" t="inlineStr">
        <is>
          <t>27/10/2025</t>
        </is>
      </c>
      <c r="R60" s="7">
        <f>ROUNDDOWN(((TODAY()-P60)/30)-1,0)</f>
        <v/>
      </c>
      <c r="S60" s="88">
        <f>O60*R60</f>
        <v/>
      </c>
      <c r="T60" s="7">
        <f>ROUNDUP(N60-R60,0)</f>
        <v/>
      </c>
      <c r="U60" s="89">
        <f>M60-S60</f>
        <v/>
      </c>
      <c r="V60" s="6" t="n">
        <v>46181</v>
      </c>
    </row>
    <row r="61" hidden="1">
      <c r="A61" s="4" t="inlineStr">
        <is>
          <t>SAMSUNG GALAXY A36</t>
        </is>
      </c>
      <c r="C61" s="4" t="n">
        <v>51401</v>
      </c>
      <c r="D61" s="14" t="inlineStr">
        <is>
          <t xml:space="preserve">C13 - KLABIN PR ESTEIRA </t>
        </is>
      </c>
      <c r="G61" s="10" t="inlineStr">
        <is>
          <t>SUL</t>
        </is>
      </c>
      <c r="H61" s="4" t="inlineStr">
        <is>
          <t>RQCY505QAJY</t>
        </is>
      </c>
      <c r="L61" s="4" t="inlineStr">
        <is>
          <t xml:space="preserve">CEL0060   </t>
        </is>
      </c>
      <c r="M61" s="3" t="n">
        <v>1424</v>
      </c>
      <c r="N61" s="4" t="n">
        <v>60</v>
      </c>
      <c r="O61" s="88">
        <f>M61/N61</f>
        <v/>
      </c>
      <c r="P61" s="4" t="inlineStr">
        <is>
          <t>27/10/2025</t>
        </is>
      </c>
      <c r="R61" s="7">
        <f>ROUNDDOWN(((TODAY()-P61)/30)-1,0)</f>
        <v/>
      </c>
      <c r="S61" s="88">
        <f>O61*R61</f>
        <v/>
      </c>
      <c r="T61" s="7">
        <f>ROUNDUP(N61-R61,0)</f>
        <v/>
      </c>
      <c r="U61" s="89">
        <f>M61-S61</f>
        <v/>
      </c>
      <c r="V61" s="6" t="n">
        <v>46181</v>
      </c>
    </row>
    <row r="62" hidden="1">
      <c r="A62" s="4" t="inlineStr">
        <is>
          <t>SAMSUNG GALAXY A36</t>
        </is>
      </c>
      <c r="C62" s="4" t="n">
        <v>51401</v>
      </c>
      <c r="D62" s="14" t="inlineStr">
        <is>
          <t xml:space="preserve">C13 - KLABIN PR ESTEIRA </t>
        </is>
      </c>
      <c r="G62" s="10" t="inlineStr">
        <is>
          <t>SUL</t>
        </is>
      </c>
      <c r="H62" s="4" t="inlineStr">
        <is>
          <t>RQCY505Q7KT</t>
        </is>
      </c>
      <c r="L62" s="4" t="inlineStr">
        <is>
          <t xml:space="preserve">CEL0061   </t>
        </is>
      </c>
      <c r="M62" s="3" t="n">
        <v>1424</v>
      </c>
      <c r="N62" s="4" t="n">
        <v>60</v>
      </c>
      <c r="O62" s="88">
        <f>M62/N62</f>
        <v/>
      </c>
      <c r="P62" s="4" t="inlineStr">
        <is>
          <t>27/10/2025</t>
        </is>
      </c>
      <c r="R62" s="7">
        <f>ROUNDDOWN(((TODAY()-P62)/30)-1,0)</f>
        <v/>
      </c>
      <c r="S62" s="88">
        <f>O62*R62</f>
        <v/>
      </c>
      <c r="T62" s="7">
        <f>ROUNDUP(N62-R62,0)</f>
        <v/>
      </c>
      <c r="U62" s="89">
        <f>M62-S62</f>
        <v/>
      </c>
      <c r="V62" s="6" t="n">
        <v>46181</v>
      </c>
    </row>
    <row r="63" hidden="1">
      <c r="A63" s="4" t="inlineStr">
        <is>
          <t>SAMSUNG GALAXY A36</t>
        </is>
      </c>
      <c r="C63" s="4" t="n">
        <v>51401</v>
      </c>
      <c r="D63" s="14" t="inlineStr">
        <is>
          <t xml:space="preserve">C13 - KLABIN PR ESTEIRA </t>
        </is>
      </c>
      <c r="G63" s="10" t="inlineStr">
        <is>
          <t>SUL</t>
        </is>
      </c>
      <c r="H63" s="4" t="inlineStr">
        <is>
          <t>RQCY505Q7GA</t>
        </is>
      </c>
      <c r="L63" s="4" t="inlineStr">
        <is>
          <t xml:space="preserve">CEL0062   </t>
        </is>
      </c>
      <c r="M63" s="3" t="n">
        <v>1424</v>
      </c>
      <c r="N63" s="4" t="n">
        <v>60</v>
      </c>
      <c r="O63" s="88">
        <f>M63/N63</f>
        <v/>
      </c>
      <c r="P63" s="4" t="inlineStr">
        <is>
          <t>27/10/2025</t>
        </is>
      </c>
      <c r="R63" s="7">
        <f>ROUNDDOWN(((TODAY()-P63)/30)-1,0)</f>
        <v/>
      </c>
      <c r="S63" s="88">
        <f>O63*R63</f>
        <v/>
      </c>
      <c r="T63" s="7">
        <f>ROUNDUP(N63-R63,0)</f>
        <v/>
      </c>
      <c r="U63" s="89">
        <f>M63-S63</f>
        <v/>
      </c>
      <c r="V63" s="6" t="n">
        <v>46181</v>
      </c>
    </row>
    <row r="64" hidden="1">
      <c r="A64" s="4" t="inlineStr">
        <is>
          <t>SAMSUNG GALAXY A36</t>
        </is>
      </c>
      <c r="C64" s="4" t="n">
        <v>32200</v>
      </c>
      <c r="D64" s="14" t="inlineStr">
        <is>
          <t>GESTAO OP AGUA CLARA</t>
        </is>
      </c>
      <c r="G64" s="10" t="inlineStr">
        <is>
          <t>NORTE</t>
        </is>
      </c>
      <c r="H64" s="4" t="inlineStr">
        <is>
          <t>RQCY505QADP</t>
        </is>
      </c>
      <c r="L64" s="4" t="inlineStr">
        <is>
          <t xml:space="preserve">CEL0063   </t>
        </is>
      </c>
      <c r="M64" s="3" t="n">
        <v>1424</v>
      </c>
      <c r="N64" s="4" t="n">
        <v>60</v>
      </c>
      <c r="O64" s="88">
        <f>M64/N64</f>
        <v/>
      </c>
      <c r="P64" s="4" t="inlineStr">
        <is>
          <t>27/10/2025</t>
        </is>
      </c>
      <c r="R64" s="7">
        <f>ROUNDDOWN(((TODAY()-P64)/30)-1,0)</f>
        <v/>
      </c>
      <c r="S64" s="88">
        <f>O64*R64</f>
        <v/>
      </c>
      <c r="T64" s="7">
        <f>ROUNDUP(N64-R64,0)</f>
        <v/>
      </c>
      <c r="U64" s="89">
        <f>M64-S64</f>
        <v/>
      </c>
      <c r="V64" s="6" t="n">
        <v>46181</v>
      </c>
    </row>
    <row r="65" hidden="1">
      <c r="A65" s="4" t="inlineStr">
        <is>
          <t>SAMSUNG GALAXY A36</t>
        </is>
      </c>
      <c r="C65" s="4" t="n">
        <v>41501</v>
      </c>
      <c r="D65" s="14" t="inlineStr">
        <is>
          <t>C03 - BRACELL ITATINGA</t>
        </is>
      </c>
      <c r="G65" s="10" t="inlineStr">
        <is>
          <t>NORTE</t>
        </is>
      </c>
      <c r="H65" s="4" t="inlineStr">
        <is>
          <t>RXGL10DPPDB</t>
        </is>
      </c>
      <c r="L65" s="4" t="inlineStr">
        <is>
          <t xml:space="preserve">CEL0064   </t>
        </is>
      </c>
      <c r="M65" s="3" t="n">
        <v>1889</v>
      </c>
      <c r="N65" s="4" t="n">
        <v>60</v>
      </c>
      <c r="O65" s="88">
        <f>M65/N65</f>
        <v/>
      </c>
      <c r="P65" s="4" t="inlineStr">
        <is>
          <t>13/05/2026</t>
        </is>
      </c>
      <c r="R65" s="7">
        <f>ROUNDDOWN(((TODAY()-P65)/30)-1,0)</f>
        <v/>
      </c>
      <c r="S65" s="88">
        <f>O65*R65</f>
        <v/>
      </c>
      <c r="T65" s="7">
        <f>ROUNDUP(N65-R65,0)</f>
        <v/>
      </c>
      <c r="U65" s="89">
        <f>M65-S65</f>
        <v/>
      </c>
      <c r="V65" s="6" t="n">
        <v>46181</v>
      </c>
    </row>
    <row r="66" hidden="1">
      <c r="A66" s="4" t="inlineStr">
        <is>
          <t>SAMSUNG GALAXY A36</t>
        </is>
      </c>
      <c r="C66" s="4" t="n">
        <v>41501</v>
      </c>
      <c r="D66" s="14" t="inlineStr">
        <is>
          <t>C03 - BRACELL ITATINGA</t>
        </is>
      </c>
      <c r="G66" s="10" t="inlineStr">
        <is>
          <t>NORTE</t>
        </is>
      </c>
      <c r="H66" s="4" t="inlineStr">
        <is>
          <t>RXGL10D9REJ</t>
        </is>
      </c>
      <c r="L66" s="4" t="inlineStr">
        <is>
          <t xml:space="preserve">CEL0065   </t>
        </is>
      </c>
      <c r="M66" s="3" t="n">
        <v>1889</v>
      </c>
      <c r="N66" s="4" t="n">
        <v>60</v>
      </c>
      <c r="O66" s="88">
        <f>M66/N66</f>
        <v/>
      </c>
      <c r="P66" s="4" t="inlineStr">
        <is>
          <t>13/05/2026</t>
        </is>
      </c>
      <c r="R66" s="7">
        <f>ROUNDDOWN(((TODAY()-P66)/30)-1,0)</f>
        <v/>
      </c>
      <c r="S66" s="88">
        <f>O66*R66</f>
        <v/>
      </c>
      <c r="T66" s="7">
        <f>ROUNDUP(N66-R66,0)</f>
        <v/>
      </c>
      <c r="U66" s="89">
        <f>M66-S66</f>
        <v/>
      </c>
      <c r="V66" s="6" t="n">
        <v>46181</v>
      </c>
    </row>
    <row r="67" hidden="1">
      <c r="A67" s="4" t="inlineStr">
        <is>
          <t>SAMSUNG GALAXY A36</t>
        </is>
      </c>
      <c r="C67" s="4" t="n">
        <v>42550</v>
      </c>
      <c r="D67" s="14" t="inlineStr">
        <is>
          <t>C02 - SUZANO CBO</t>
        </is>
      </c>
      <c r="G67" s="10" t="inlineStr">
        <is>
          <t>LESTE</t>
        </is>
      </c>
      <c r="H67" s="4" t="inlineStr">
        <is>
          <t>RXGL10D9RFB</t>
        </is>
      </c>
      <c r="L67" s="4" t="inlineStr">
        <is>
          <t xml:space="preserve">CEL0066   </t>
        </is>
      </c>
      <c r="M67" s="3" t="n">
        <v>1889</v>
      </c>
      <c r="N67" s="4" t="n">
        <v>60</v>
      </c>
      <c r="O67" s="88">
        <f>M67/N67</f>
        <v/>
      </c>
      <c r="P67" s="4" t="inlineStr">
        <is>
          <t>13/05/2026</t>
        </is>
      </c>
      <c r="R67" s="7">
        <f>ROUNDDOWN(((TODAY()-P67)/30)-1,0)</f>
        <v/>
      </c>
      <c r="S67" s="88">
        <f>O67*R67</f>
        <v/>
      </c>
      <c r="T67" s="7">
        <f>ROUNDUP(N67-R67,0)</f>
        <v/>
      </c>
      <c r="U67" s="89">
        <f>M67-S67</f>
        <v/>
      </c>
      <c r="V67" s="6" t="n">
        <v>46181</v>
      </c>
    </row>
    <row r="68" hidden="1">
      <c r="A68" s="4" t="inlineStr">
        <is>
          <t>SAMSUNG GALAXY A36</t>
        </is>
      </c>
      <c r="C68" s="4" t="n">
        <v>42550</v>
      </c>
      <c r="D68" s="14" t="inlineStr">
        <is>
          <t>C02 - SUZANO CBO</t>
        </is>
      </c>
      <c r="G68" s="10" t="inlineStr">
        <is>
          <t>LESTE</t>
        </is>
      </c>
      <c r="H68" s="4" t="inlineStr">
        <is>
          <t>RXGL10D9DNR</t>
        </is>
      </c>
      <c r="L68" s="4" t="inlineStr">
        <is>
          <t xml:space="preserve">CEL0067   </t>
        </is>
      </c>
      <c r="M68" s="3" t="n">
        <v>1889</v>
      </c>
      <c r="N68" s="4" t="n">
        <v>60</v>
      </c>
      <c r="O68" s="88">
        <f>M68/N68</f>
        <v/>
      </c>
      <c r="P68" s="4" t="inlineStr">
        <is>
          <t>13/05/2026</t>
        </is>
      </c>
      <c r="R68" s="7">
        <f>ROUNDDOWN(((TODAY()-P68)/30)-1,0)</f>
        <v/>
      </c>
      <c r="S68" s="88">
        <f>O68*R68</f>
        <v/>
      </c>
      <c r="T68" s="7">
        <f>ROUNDUP(N68-R68,0)</f>
        <v/>
      </c>
      <c r="U68" s="89">
        <f>M68-S68</f>
        <v/>
      </c>
      <c r="V68" s="6" t="n">
        <v>46181</v>
      </c>
    </row>
    <row r="69" hidden="1">
      <c r="A69" s="4" t="inlineStr">
        <is>
          <t>SMARTPHONE MOTO G06</t>
        </is>
      </c>
      <c r="D69" s="4" t="inlineStr">
        <is>
          <t>C02 - SUZANO SMA</t>
        </is>
      </c>
      <c r="F69" s="4" t="inlineStr">
        <is>
          <t>FERNANDO RODRIGUES</t>
        </is>
      </c>
      <c r="H69" s="4" t="inlineStr">
        <is>
          <t>ZF525N5DLQ</t>
        </is>
      </c>
      <c r="I69" s="18" t="inlineStr">
        <is>
          <t>357704173912516</t>
        </is>
      </c>
      <c r="J69" s="18" t="inlineStr">
        <is>
          <t>357704173912524</t>
        </is>
      </c>
      <c r="K69" s="4" t="n">
        <v>2882</v>
      </c>
      <c r="L69" s="4" t="inlineStr">
        <is>
          <t>CEL0120</t>
        </is>
      </c>
    </row>
    <row r="70" hidden="1">
      <c r="A70" s="4" t="inlineStr">
        <is>
          <t>SMARTPHONE MOTO G06</t>
        </is>
      </c>
      <c r="D70" s="4" t="inlineStr">
        <is>
          <t>C03 - BRACELL DOURADO</t>
        </is>
      </c>
      <c r="F70" s="4" t="inlineStr">
        <is>
          <t>CMH0393</t>
        </is>
      </c>
      <c r="H70" s="4" t="inlineStr">
        <is>
          <t>ZF525N5B5B</t>
        </is>
      </c>
      <c r="I70" s="18" t="inlineStr">
        <is>
          <t>357704173913514</t>
        </is>
      </c>
      <c r="J70" s="18" t="inlineStr">
        <is>
          <t>357704173913522</t>
        </is>
      </c>
      <c r="K70" s="4" t="n">
        <v>2883</v>
      </c>
      <c r="L70" s="4" t="inlineStr">
        <is>
          <t>CEL0121</t>
        </is>
      </c>
    </row>
    <row r="71" hidden="1">
      <c r="A71" s="4" t="inlineStr">
        <is>
          <t>SMARTPHONE MOTO G06</t>
        </is>
      </c>
      <c r="D71" s="4" t="inlineStr">
        <is>
          <t>C03 - BRACELL DOURADO</t>
        </is>
      </c>
      <c r="F71" s="4" t="inlineStr">
        <is>
          <t>CMH0404</t>
        </is>
      </c>
      <c r="H71" s="4" t="inlineStr">
        <is>
          <t>ZF525N562Z</t>
        </is>
      </c>
      <c r="I71" s="18" t="inlineStr">
        <is>
          <t>357704173892650</t>
        </is>
      </c>
      <c r="J71" s="18" t="inlineStr">
        <is>
          <t>357704173892668</t>
        </is>
      </c>
      <c r="K71" s="4" t="n">
        <v>2809</v>
      </c>
      <c r="L71" s="4" t="inlineStr">
        <is>
          <t>CEL0122</t>
        </is>
      </c>
    </row>
    <row r="72" hidden="1">
      <c r="A72" s="4" t="inlineStr">
        <is>
          <t>SMARTPHONE MOTO G06</t>
        </is>
      </c>
      <c r="D72" s="4" t="inlineStr">
        <is>
          <t>C03 - BRACELL DOURADO</t>
        </is>
      </c>
      <c r="F72" s="4" t="inlineStr">
        <is>
          <t>CMH0485</t>
        </is>
      </c>
      <c r="H72" s="4" t="inlineStr">
        <is>
          <t>ZF525N588C</t>
        </is>
      </c>
      <c r="I72" s="18" t="inlineStr">
        <is>
          <t>357704173912573</t>
        </is>
      </c>
      <c r="J72" s="18" t="inlineStr">
        <is>
          <t>357704173912581</t>
        </is>
      </c>
      <c r="K72" s="4" t="n">
        <v>2810</v>
      </c>
      <c r="L72" s="4" t="inlineStr">
        <is>
          <t>CEL0123</t>
        </is>
      </c>
    </row>
    <row r="73" hidden="1">
      <c r="A73" s="4" t="inlineStr">
        <is>
          <t>SMARTPHONE MOTO G06</t>
        </is>
      </c>
      <c r="D73" s="4" t="inlineStr">
        <is>
          <t>C03 - BRACELL DOURADO</t>
        </is>
      </c>
      <c r="F73" s="4" t="inlineStr">
        <is>
          <t>SIG0H76</t>
        </is>
      </c>
      <c r="H73" s="4" t="inlineStr">
        <is>
          <t>ZF525N5QPZ</t>
        </is>
      </c>
      <c r="I73" s="18" t="inlineStr">
        <is>
          <t>357704173911393</t>
        </is>
      </c>
      <c r="J73" s="18" t="inlineStr">
        <is>
          <t>357704173911401</t>
        </is>
      </c>
      <c r="K73" s="4" t="n">
        <v>2811</v>
      </c>
      <c r="L73" s="4" t="inlineStr">
        <is>
          <t>CEL0124</t>
        </is>
      </c>
    </row>
    <row r="74" hidden="1">
      <c r="A74" s="4" t="inlineStr">
        <is>
          <t>SMARTPHONE MOTO G06</t>
        </is>
      </c>
      <c r="D74" s="4" t="inlineStr">
        <is>
          <t>C03 - BRACELL DOURADO</t>
        </is>
      </c>
      <c r="F74" s="4" t="inlineStr">
        <is>
          <t>DGY3J67</t>
        </is>
      </c>
      <c r="H74" s="4" t="inlineStr">
        <is>
          <t>ZF525N5F9M</t>
        </is>
      </c>
      <c r="I74" s="18" t="inlineStr">
        <is>
          <t>357704173913936</t>
        </is>
      </c>
      <c r="J74" s="18" t="inlineStr">
        <is>
          <t>357704173913944</t>
        </is>
      </c>
      <c r="K74" s="4" t="n">
        <v>2813</v>
      </c>
      <c r="L74" s="4" t="inlineStr">
        <is>
          <t>CEL0125</t>
        </is>
      </c>
    </row>
    <row r="75" hidden="1">
      <c r="A75" s="4" t="inlineStr">
        <is>
          <t>SMARTPHONE MOTO G06</t>
        </is>
      </c>
      <c r="D75" s="4" t="inlineStr">
        <is>
          <t>C03 - BRACELL DOURADO</t>
        </is>
      </c>
      <c r="F75" s="4" t="inlineStr">
        <is>
          <t>RVI8H33</t>
        </is>
      </c>
      <c r="H75" s="4" t="inlineStr">
        <is>
          <t>ZF525N5DFF</t>
        </is>
      </c>
      <c r="I75" s="18" t="inlineStr">
        <is>
          <t>357704173912276</t>
        </is>
      </c>
      <c r="J75" s="18" t="inlineStr">
        <is>
          <t>357704173912284</t>
        </is>
      </c>
      <c r="K75" s="4" t="n">
        <v>2816</v>
      </c>
      <c r="L75" s="4" t="inlineStr">
        <is>
          <t>CEL0126</t>
        </is>
      </c>
    </row>
    <row r="76" hidden="1">
      <c r="A76" s="4" t="inlineStr">
        <is>
          <t>SMARTPHONE MOTO G06</t>
        </is>
      </c>
      <c r="D76" s="4" t="inlineStr">
        <is>
          <t>C03 - BRACELL DOURADO</t>
        </is>
      </c>
      <c r="F76" s="4" t="inlineStr">
        <is>
          <t>RTZ7C23</t>
        </is>
      </c>
      <c r="H76" s="4" t="inlineStr">
        <is>
          <t>ZF525N5QKH</t>
        </is>
      </c>
      <c r="I76" s="18" t="inlineStr">
        <is>
          <t>357704173911252</t>
        </is>
      </c>
      <c r="J76" s="18" t="inlineStr">
        <is>
          <t>357704173911260</t>
        </is>
      </c>
      <c r="K76" s="4" t="n">
        <v>2818</v>
      </c>
      <c r="L76" s="4" t="inlineStr">
        <is>
          <t>CEL0127</t>
        </is>
      </c>
    </row>
    <row r="77" hidden="1">
      <c r="A77" s="4" t="inlineStr">
        <is>
          <t>SMARTPHONE MOTO G06</t>
        </is>
      </c>
      <c r="D77" s="4" t="inlineStr">
        <is>
          <t>C03 - BRACELL DOURADO</t>
        </is>
      </c>
      <c r="F77" s="4" t="inlineStr">
        <is>
          <t>TRA0325</t>
        </is>
      </c>
      <c r="H77" s="4" t="inlineStr">
        <is>
          <t>ZF525N58Q9</t>
        </is>
      </c>
      <c r="I77" s="18" t="inlineStr">
        <is>
          <t>357704173914652</t>
        </is>
      </c>
      <c r="J77" s="18" t="inlineStr">
        <is>
          <t>357704173914660</t>
        </is>
      </c>
      <c r="K77" s="4" t="n">
        <v>2820</v>
      </c>
      <c r="L77" s="4" t="inlineStr">
        <is>
          <t>CEL0128</t>
        </is>
      </c>
    </row>
    <row r="78" hidden="1">
      <c r="A78" s="4" t="inlineStr">
        <is>
          <t>SMARTPHONE MOTO G06</t>
        </is>
      </c>
      <c r="D78" s="4" t="inlineStr">
        <is>
          <t>C03 - BRACELL DOURADO</t>
        </is>
      </c>
      <c r="F78" s="4" t="inlineStr">
        <is>
          <t>TRA0340</t>
        </is>
      </c>
      <c r="H78" s="4" t="inlineStr">
        <is>
          <t>ZF525N5QLR</t>
        </is>
      </c>
      <c r="I78" s="18" t="inlineStr">
        <is>
          <t>357704173904455</t>
        </is>
      </c>
      <c r="J78" s="18" t="inlineStr">
        <is>
          <t>357704173904463</t>
        </is>
      </c>
      <c r="K78" s="4" t="n">
        <v>2823</v>
      </c>
      <c r="L78" s="4" t="inlineStr">
        <is>
          <t>CEL0129</t>
        </is>
      </c>
    </row>
    <row r="79" hidden="1">
      <c r="A79" s="4" t="inlineStr">
        <is>
          <t>SMARTPHONE MOTO G06</t>
        </is>
      </c>
      <c r="D79" s="4" t="inlineStr">
        <is>
          <t>C05 - BRACELL DUARTINA</t>
        </is>
      </c>
      <c r="F79" s="4" t="inlineStr">
        <is>
          <t>TRA0363</t>
        </is>
      </c>
      <c r="H79" s="4" t="inlineStr">
        <is>
          <t>ZF525N52BG</t>
        </is>
      </c>
      <c r="I79" s="18" t="inlineStr">
        <is>
          <t>357704173886132</t>
        </is>
      </c>
      <c r="J79" s="18" t="inlineStr">
        <is>
          <t>357704173886140</t>
        </is>
      </c>
      <c r="K79" s="4" t="n">
        <v>2827</v>
      </c>
      <c r="L79" s="4" t="inlineStr">
        <is>
          <t>CEL0068</t>
        </is>
      </c>
    </row>
    <row r="80" hidden="1">
      <c r="A80" s="4" t="inlineStr">
        <is>
          <t>SMARTPHONE MOTO G06</t>
        </is>
      </c>
      <c r="D80" s="4" t="inlineStr">
        <is>
          <t>C05 - BRACELL DUARTINA</t>
        </is>
      </c>
      <c r="F80" s="4" t="inlineStr">
        <is>
          <t>TRA0448</t>
        </is>
      </c>
      <c r="H80" s="4" t="inlineStr">
        <is>
          <t>ZF525N5QNH</t>
        </is>
      </c>
      <c r="I80" s="18" t="inlineStr">
        <is>
          <t>357704173882032</t>
        </is>
      </c>
      <c r="J80" s="18" t="inlineStr">
        <is>
          <t>357704173882040</t>
        </is>
      </c>
      <c r="K80" s="4" t="n">
        <v>2830</v>
      </c>
      <c r="L80" s="4" t="inlineStr">
        <is>
          <t>CEL0069</t>
        </is>
      </c>
    </row>
    <row r="81" hidden="1">
      <c r="A81" s="4" t="inlineStr">
        <is>
          <t>SMARTPHONE MOTO G06</t>
        </is>
      </c>
      <c r="D81" s="4" t="inlineStr">
        <is>
          <t>C05 - BRACELL DUARTINA</t>
        </is>
      </c>
      <c r="F81" s="4" t="inlineStr">
        <is>
          <t>TRA0451</t>
        </is>
      </c>
      <c r="H81" s="4" t="inlineStr">
        <is>
          <t>ZF525N5QMH</t>
        </is>
      </c>
      <c r="I81" s="18" t="inlineStr">
        <is>
          <t>357704173882099</t>
        </is>
      </c>
      <c r="J81" s="18" t="inlineStr">
        <is>
          <t>357704173882107</t>
        </is>
      </c>
      <c r="K81" s="4" t="n">
        <v>2832</v>
      </c>
      <c r="L81" s="4" t="inlineStr">
        <is>
          <t>CEL0070</t>
        </is>
      </c>
    </row>
    <row r="82" hidden="1">
      <c r="A82" s="4" t="inlineStr">
        <is>
          <t>SMARTPHONE MOTO G06</t>
        </is>
      </c>
      <c r="D82" s="4" t="inlineStr">
        <is>
          <t>C05 - BRACELL DUARTINA</t>
        </is>
      </c>
      <c r="F82" s="4" t="inlineStr">
        <is>
          <t>TRA0459</t>
        </is>
      </c>
      <c r="H82" s="4" t="inlineStr">
        <is>
          <t>ZF525N52ZG</t>
        </is>
      </c>
      <c r="I82" s="18" t="inlineStr">
        <is>
          <t>357704173886173</t>
        </is>
      </c>
      <c r="J82" s="18" t="inlineStr">
        <is>
          <t>357704173886181</t>
        </is>
      </c>
      <c r="K82" s="4" t="n">
        <v>2841</v>
      </c>
      <c r="L82" s="4" t="inlineStr">
        <is>
          <t>CEL0071</t>
        </is>
      </c>
    </row>
    <row r="83" hidden="1">
      <c r="A83" s="4" t="inlineStr">
        <is>
          <t>SMARTPHONE MOTO G06</t>
        </is>
      </c>
      <c r="D83" s="4" t="inlineStr">
        <is>
          <t>C05 - BRACELL DUARTINA</t>
        </is>
      </c>
      <c r="F83" s="4" t="inlineStr">
        <is>
          <t>TRA0460</t>
        </is>
      </c>
      <c r="H83" s="4" t="inlineStr">
        <is>
          <t>ZF525N5D5W</t>
        </is>
      </c>
      <c r="I83" s="18" t="inlineStr">
        <is>
          <t>357704173905072</t>
        </is>
      </c>
      <c r="J83" s="18" t="inlineStr">
        <is>
          <t>357704173905080</t>
        </is>
      </c>
      <c r="K83" s="4" t="n">
        <v>2843</v>
      </c>
      <c r="L83" s="4" t="inlineStr">
        <is>
          <t>CEL0072</t>
        </is>
      </c>
    </row>
    <row r="84" hidden="1">
      <c r="A84" s="4" t="inlineStr">
        <is>
          <t>SMARTPHONE MOTO G06</t>
        </is>
      </c>
      <c r="D84" s="4" t="inlineStr">
        <is>
          <t>C05 - BRACELL DUARTINA</t>
        </is>
      </c>
      <c r="F84" s="4" t="inlineStr">
        <is>
          <t>ALESSANDRO BEZERRA DA SILVA</t>
        </is>
      </c>
      <c r="H84" s="4" t="inlineStr">
        <is>
          <t>ZF525N59L8</t>
        </is>
      </c>
      <c r="I84" s="18" t="inlineStr">
        <is>
          <t>357704173899754</t>
        </is>
      </c>
      <c r="J84" s="18" t="inlineStr">
        <is>
          <t>357704173899762</t>
        </is>
      </c>
      <c r="K84" s="4" t="n">
        <v>2759</v>
      </c>
      <c r="L84" s="4" t="inlineStr">
        <is>
          <t>CEL0073</t>
        </is>
      </c>
    </row>
    <row r="85" hidden="1">
      <c r="A85" s="4" t="inlineStr">
        <is>
          <t>SMARTPHONE MOTO G06</t>
        </is>
      </c>
      <c r="D85" s="4" t="inlineStr">
        <is>
          <t>C05 - BRACELL DUARTINA</t>
        </is>
      </c>
      <c r="F85" s="4" t="inlineStr">
        <is>
          <t>DIEGO UBIRAJARA BARBOSA</t>
        </is>
      </c>
      <c r="H85" s="4" t="inlineStr">
        <is>
          <t>ZF525N5CVT</t>
        </is>
      </c>
      <c r="I85" s="18" t="inlineStr">
        <is>
          <t>357704173913670</t>
        </is>
      </c>
      <c r="J85" s="18" t="inlineStr">
        <is>
          <t>357704173913688</t>
        </is>
      </c>
      <c r="K85" s="4" t="n">
        <v>2829</v>
      </c>
      <c r="L85" s="4" t="inlineStr">
        <is>
          <t>CEL0074</t>
        </is>
      </c>
    </row>
    <row r="86" hidden="1">
      <c r="A86" s="4" t="inlineStr">
        <is>
          <t>SMARTPHONE MOTO G06</t>
        </is>
      </c>
      <c r="D86" s="4" t="inlineStr">
        <is>
          <t>C05 - BRACELL DUARTINA</t>
        </is>
      </c>
      <c r="F86" s="4" t="inlineStr">
        <is>
          <t>PETKOVIC MAX SOUZA PEREIRA</t>
        </is>
      </c>
      <c r="H86" s="4" t="inlineStr">
        <is>
          <t>ZF525N5DFS</t>
        </is>
      </c>
      <c r="I86" s="18" t="inlineStr">
        <is>
          <t>357704173904414</t>
        </is>
      </c>
      <c r="J86" s="18" t="inlineStr">
        <is>
          <t>357704173904422</t>
        </is>
      </c>
      <c r="K86" s="4" t="n">
        <v>2835</v>
      </c>
      <c r="L86" s="4" t="inlineStr">
        <is>
          <t>CEL0075</t>
        </is>
      </c>
    </row>
    <row r="87" hidden="1">
      <c r="A87" s="4" t="inlineStr">
        <is>
          <t>SMARTPHONE MOTO G06</t>
        </is>
      </c>
      <c r="D87" s="4" t="inlineStr">
        <is>
          <t>C05 - BRACELL DUARTINA</t>
        </is>
      </c>
      <c r="F87" s="4" t="inlineStr">
        <is>
          <t>FERNANDO DOS SANTOS MARINHO</t>
        </is>
      </c>
      <c r="H87" s="4" t="inlineStr">
        <is>
          <t>ZF525N5CTJ</t>
        </is>
      </c>
      <c r="I87" s="18" t="inlineStr">
        <is>
          <t>357704173905056</t>
        </is>
      </c>
      <c r="J87" s="18" t="inlineStr">
        <is>
          <t>357704173905064</t>
        </is>
      </c>
      <c r="K87" s="4" t="n">
        <v>2822</v>
      </c>
      <c r="L87" s="4" t="inlineStr">
        <is>
          <t>CEL0076</t>
        </is>
      </c>
    </row>
    <row r="88" hidden="1">
      <c r="A88" s="4" t="inlineStr">
        <is>
          <t>SMARTPHONE MOTO G06</t>
        </is>
      </c>
      <c r="D88" s="4" t="inlineStr">
        <is>
          <t>C05 - BRACELL DUARTINA</t>
        </is>
      </c>
      <c r="F88" s="4" t="inlineStr">
        <is>
          <t>RODRIGO PARPINELI CORREA</t>
        </is>
      </c>
      <c r="H88" s="4" t="inlineStr">
        <is>
          <t>ZF525N5F62</t>
        </is>
      </c>
      <c r="I88" s="18" t="inlineStr">
        <is>
          <t>357704173905155</t>
        </is>
      </c>
      <c r="J88" s="18" t="inlineStr">
        <is>
          <t>357704173905163</t>
        </is>
      </c>
      <c r="K88" s="4" t="n">
        <v>2837</v>
      </c>
      <c r="L88" s="4" t="inlineStr">
        <is>
          <t>CEL0077</t>
        </is>
      </c>
    </row>
    <row r="89" hidden="1">
      <c r="A89" s="4" t="inlineStr">
        <is>
          <t>SMARTPHONE MOTO G06</t>
        </is>
      </c>
      <c r="D89" s="4" t="inlineStr">
        <is>
          <t>C05 - BRACELL DUARTINA</t>
        </is>
      </c>
      <c r="F89" s="4" t="inlineStr">
        <is>
          <t>ROSA MARIA VIEIRA DA SILVA</t>
        </is>
      </c>
      <c r="H89" s="4" t="inlineStr">
        <is>
          <t>ZF525N5R5L</t>
        </is>
      </c>
      <c r="I89" s="18" t="inlineStr">
        <is>
          <t>357704173910833</t>
        </is>
      </c>
      <c r="J89" s="18" t="inlineStr">
        <is>
          <t>357704173910841</t>
        </is>
      </c>
      <c r="K89" s="4" t="n">
        <v>2814</v>
      </c>
      <c r="L89" s="4" t="inlineStr">
        <is>
          <t>CEL0078</t>
        </is>
      </c>
    </row>
    <row r="90" hidden="1">
      <c r="A90" s="4" t="inlineStr">
        <is>
          <t>SMARTPHONE MOTO G06</t>
        </is>
      </c>
      <c r="D90" s="4" t="inlineStr">
        <is>
          <t>C05 - BRACELL DUARTINA</t>
        </is>
      </c>
      <c r="F90" s="4" t="inlineStr">
        <is>
          <t>MARCELO FERREIRA DO PRADO</t>
        </is>
      </c>
      <c r="H90" s="4" t="inlineStr">
        <is>
          <t>ZF525N56CL</t>
        </is>
      </c>
      <c r="I90" s="18" t="inlineStr">
        <is>
          <t>357704173892395</t>
        </is>
      </c>
      <c r="J90" s="18" t="inlineStr">
        <is>
          <t>357704173892403</t>
        </is>
      </c>
      <c r="K90" s="4" t="n">
        <v>2840</v>
      </c>
      <c r="L90" s="4" t="inlineStr">
        <is>
          <t>CEL0079</t>
        </is>
      </c>
    </row>
    <row r="91" hidden="1">
      <c r="A91" s="4" t="inlineStr">
        <is>
          <t>SMARTPHONE MOTO G06</t>
        </is>
      </c>
      <c r="D91" s="4" t="inlineStr">
        <is>
          <t>C05 - BRACELL DUARTINA</t>
        </is>
      </c>
      <c r="F91" s="4" t="inlineStr">
        <is>
          <t>LUCAS ADRIANO DE OLIVEIRA</t>
        </is>
      </c>
      <c r="H91" s="4" t="inlineStr">
        <is>
          <t>ZF525N5QNW</t>
        </is>
      </c>
      <c r="I91" s="18" t="inlineStr">
        <is>
          <t>357704173911815</t>
        </is>
      </c>
      <c r="J91" s="18" t="inlineStr">
        <is>
          <t>357704173911823</t>
        </is>
      </c>
      <c r="K91" s="4" t="n">
        <v>2845</v>
      </c>
      <c r="L91" s="4" t="inlineStr">
        <is>
          <t>CEL0080</t>
        </is>
      </c>
    </row>
    <row r="92" hidden="1">
      <c r="A92" s="4" t="inlineStr">
        <is>
          <t>SMARTPHONE MOTO G06</t>
        </is>
      </c>
      <c r="D92" s="4" t="inlineStr">
        <is>
          <t>C05 - BRACELL DUARTINA</t>
        </is>
      </c>
      <c r="F92" s="4" t="inlineStr">
        <is>
          <t>DAVID ANTONIO DA ROCHA</t>
        </is>
      </c>
      <c r="H92" s="4" t="inlineStr">
        <is>
          <t>ZF525N5QZR</t>
        </is>
      </c>
      <c r="I92" s="18" t="inlineStr">
        <is>
          <t>357704173911575</t>
        </is>
      </c>
      <c r="J92" s="18" t="inlineStr">
        <is>
          <t>357704173911583</t>
        </is>
      </c>
      <c r="K92" s="4" t="n">
        <v>2847</v>
      </c>
      <c r="L92" s="4" t="inlineStr">
        <is>
          <t>CEL0081</t>
        </is>
      </c>
    </row>
    <row r="93" hidden="1">
      <c r="A93" s="4" t="inlineStr">
        <is>
          <t>SMARTPHONE MOTO G06</t>
        </is>
      </c>
      <c r="D93" s="4" t="inlineStr">
        <is>
          <t>C05 - BRACELL DUARTINA</t>
        </is>
      </c>
      <c r="F93" s="4" t="inlineStr">
        <is>
          <t>VALCIR MENDES DA SILVA</t>
        </is>
      </c>
      <c r="H93" s="4" t="inlineStr">
        <is>
          <t>ZF525N3WNZ</t>
        </is>
      </c>
      <c r="I93" s="18" t="inlineStr">
        <is>
          <t>357704173885233</t>
        </is>
      </c>
      <c r="J93" s="18" t="inlineStr">
        <is>
          <t>357704173885241</t>
        </is>
      </c>
      <c r="K93" s="4" t="n">
        <v>2848</v>
      </c>
      <c r="L93" s="4" t="inlineStr">
        <is>
          <t>CEL0082</t>
        </is>
      </c>
    </row>
    <row r="94" hidden="1">
      <c r="A94" s="4" t="inlineStr">
        <is>
          <t>SMARTPHONE MOTO G06</t>
        </is>
      </c>
      <c r="D94" s="4" t="inlineStr">
        <is>
          <t>C05 - BRACELL DUARTINA</t>
        </is>
      </c>
      <c r="F94" s="4" t="inlineStr">
        <is>
          <t>IGOR JONAS SOLIS</t>
        </is>
      </c>
      <c r="H94" s="4" t="inlineStr">
        <is>
          <t>ZF525N3WR4</t>
        </is>
      </c>
      <c r="I94" s="18" t="inlineStr">
        <is>
          <t>357704173885274</t>
        </is>
      </c>
      <c r="J94" s="18" t="inlineStr">
        <is>
          <t>357704173885282</t>
        </is>
      </c>
      <c r="K94" s="4" t="n">
        <v>2849</v>
      </c>
      <c r="L94" s="4" t="inlineStr">
        <is>
          <t>CEL0083</t>
        </is>
      </c>
    </row>
    <row r="95" hidden="1">
      <c r="A95" s="4" t="inlineStr">
        <is>
          <t>SMARTPHONE MOTO G06</t>
        </is>
      </c>
      <c r="D95" s="4" t="inlineStr">
        <is>
          <t>C05 - BRACELL DUARTINA</t>
        </is>
      </c>
      <c r="F95" s="4" t="inlineStr">
        <is>
          <t>GHC5880</t>
        </is>
      </c>
      <c r="H95" s="4" t="inlineStr">
        <is>
          <t>ZF525N5678</t>
        </is>
      </c>
      <c r="I95" s="18" t="inlineStr">
        <is>
          <t>357704173896271</t>
        </is>
      </c>
      <c r="J95" s="18" t="inlineStr">
        <is>
          <t>357704173896289</t>
        </is>
      </c>
      <c r="K95" s="4" t="n">
        <v>2851</v>
      </c>
      <c r="L95" s="4" t="inlineStr">
        <is>
          <t>CEL0084</t>
        </is>
      </c>
    </row>
    <row r="96" hidden="1">
      <c r="A96" s="4" t="inlineStr">
        <is>
          <t>SMARTPHONE MOTO G06</t>
        </is>
      </c>
      <c r="D96" s="4" t="inlineStr">
        <is>
          <t>C05 - BRACELL DUARTINA</t>
        </is>
      </c>
      <c r="F96" s="4" t="inlineStr">
        <is>
          <t>QWR2564</t>
        </is>
      </c>
      <c r="H96" s="4" t="inlineStr">
        <is>
          <t>ZF525MV2HH</t>
        </is>
      </c>
      <c r="I96" s="18" t="inlineStr">
        <is>
          <t>357704173674397</t>
        </is>
      </c>
      <c r="J96" s="18" t="inlineStr">
        <is>
          <t>357704173674405</t>
        </is>
      </c>
      <c r="K96" s="4" t="n">
        <v>2852</v>
      </c>
      <c r="L96" s="4" t="inlineStr">
        <is>
          <t>CEL0085</t>
        </is>
      </c>
    </row>
    <row r="97" hidden="1">
      <c r="A97" s="4" t="inlineStr">
        <is>
          <t>SMARTPHONE MOTO G06</t>
        </is>
      </c>
      <c r="D97" s="4" t="inlineStr">
        <is>
          <t>C05 - BRACELL DUARTINA</t>
        </is>
      </c>
      <c r="F97" s="4" t="inlineStr">
        <is>
          <t>FKF9288</t>
        </is>
      </c>
      <c r="H97" s="4" t="inlineStr">
        <is>
          <t>ZF525N5LBF</t>
        </is>
      </c>
      <c r="I97" s="18" t="inlineStr">
        <is>
          <t>357704173893658</t>
        </is>
      </c>
      <c r="J97" s="18" t="inlineStr">
        <is>
          <t>357704173893666</t>
        </is>
      </c>
      <c r="K97" s="4" t="n">
        <v>2855</v>
      </c>
      <c r="L97" s="4" t="inlineStr">
        <is>
          <t>CEL0086</t>
        </is>
      </c>
    </row>
    <row r="98" hidden="1">
      <c r="A98" s="4" t="inlineStr">
        <is>
          <t>SMARTPHONE MOTO G06</t>
        </is>
      </c>
      <c r="D98" s="4" t="inlineStr">
        <is>
          <t>C05 - BRACELL DUARTINA</t>
        </is>
      </c>
      <c r="F98" s="4" t="inlineStr">
        <is>
          <t>ERF0J25</t>
        </is>
      </c>
      <c r="H98" s="4" t="inlineStr">
        <is>
          <t>ZF525N5CS9</t>
        </is>
      </c>
      <c r="I98" s="18" t="inlineStr">
        <is>
          <t>357704173912698</t>
        </is>
      </c>
      <c r="J98" s="18" t="inlineStr">
        <is>
          <t>357704173912706</t>
        </is>
      </c>
      <c r="K98" s="4" t="n">
        <v>2858</v>
      </c>
      <c r="L98" s="4" t="inlineStr">
        <is>
          <t>CEL0087</t>
        </is>
      </c>
    </row>
    <row r="99" hidden="1">
      <c r="A99" s="4" t="inlineStr">
        <is>
          <t>SMARTPHONE MOTO G06</t>
        </is>
      </c>
      <c r="D99" s="4" t="inlineStr">
        <is>
          <t>C05 - BRACELL DUARTINA</t>
        </is>
      </c>
      <c r="F99" s="4" t="inlineStr">
        <is>
          <t>FPH2A91</t>
        </is>
      </c>
      <c r="H99" s="4" t="inlineStr">
        <is>
          <t>ZF525N5FTH</t>
        </is>
      </c>
      <c r="I99" s="18" t="inlineStr">
        <is>
          <t>357704173913811</t>
        </is>
      </c>
      <c r="J99" s="18" t="inlineStr">
        <is>
          <t>357704173913829</t>
        </is>
      </c>
      <c r="K99" s="4" t="n">
        <v>2859</v>
      </c>
      <c r="L99" s="4" t="inlineStr">
        <is>
          <t>CEL0088</t>
        </is>
      </c>
    </row>
    <row r="100" hidden="1">
      <c r="A100" s="4" t="inlineStr">
        <is>
          <t>SMARTPHONE MOTO G06</t>
        </is>
      </c>
      <c r="D100" s="4" t="inlineStr">
        <is>
          <t>C05 - BRACELL DUARTINA</t>
        </is>
      </c>
      <c r="F100" s="4" t="inlineStr">
        <is>
          <t>GEM8880</t>
        </is>
      </c>
      <c r="H100" s="4" t="inlineStr">
        <is>
          <t>ZF525N566M</t>
        </is>
      </c>
      <c r="I100" s="18" t="inlineStr">
        <is>
          <t>357704173892494</t>
        </is>
      </c>
      <c r="J100" s="18" t="inlineStr">
        <is>
          <t>357704173892502</t>
        </is>
      </c>
      <c r="K100" s="4" t="n">
        <v>2860</v>
      </c>
      <c r="L100" s="4" t="inlineStr">
        <is>
          <t>CEL0089</t>
        </is>
      </c>
    </row>
    <row r="101" hidden="1">
      <c r="A101" s="4" t="inlineStr">
        <is>
          <t>SMARTPHONE MOTO G06</t>
        </is>
      </c>
      <c r="D101" s="4" t="inlineStr">
        <is>
          <t>C05 - BRACELL DUARTINA</t>
        </is>
      </c>
      <c r="F101" s="4" t="inlineStr">
        <is>
          <t>RVX1D75</t>
        </is>
      </c>
      <c r="H101" s="4" t="inlineStr">
        <is>
          <t>ZF525N58KW</t>
        </is>
      </c>
      <c r="I101" s="18" t="inlineStr">
        <is>
          <t>357704173893872</t>
        </is>
      </c>
      <c r="J101" s="18" t="inlineStr">
        <is>
          <t>357704173893880</t>
        </is>
      </c>
      <c r="K101" s="4" t="n">
        <v>2861</v>
      </c>
      <c r="L101" s="4" t="inlineStr">
        <is>
          <t>CEL0090</t>
        </is>
      </c>
    </row>
    <row r="102" hidden="1">
      <c r="A102" s="4" t="inlineStr">
        <is>
          <t>SMARTPHONE MOTO G06</t>
        </is>
      </c>
      <c r="D102" s="4" t="inlineStr">
        <is>
          <t>C05 - BRACELL DUARTINA</t>
        </is>
      </c>
      <c r="F102" s="4" t="inlineStr">
        <is>
          <t>ERF2267</t>
        </is>
      </c>
      <c r="H102" s="4" t="inlineStr">
        <is>
          <t>ZF525N59QD</t>
        </is>
      </c>
      <c r="I102" s="18" t="inlineStr">
        <is>
          <t>357704173895232</t>
        </is>
      </c>
      <c r="J102" s="18" t="inlineStr">
        <is>
          <t>357704173895240</t>
        </is>
      </c>
      <c r="K102" s="4" t="n">
        <v>2862</v>
      </c>
      <c r="L102" s="4" t="inlineStr">
        <is>
          <t>CEL0091</t>
        </is>
      </c>
    </row>
    <row r="103" hidden="1">
      <c r="A103" s="4" t="inlineStr">
        <is>
          <t>SMARTPHONE MOTO G06</t>
        </is>
      </c>
      <c r="D103" s="4" t="inlineStr">
        <is>
          <t>C05 - BRACELL DUARTINA</t>
        </is>
      </c>
      <c r="F103" s="4" t="inlineStr">
        <is>
          <t>EGN8E93</t>
        </is>
      </c>
      <c r="H103" s="4" t="inlineStr">
        <is>
          <t>ZF525N56KK</t>
        </is>
      </c>
      <c r="I103" s="18" t="inlineStr">
        <is>
          <t>357704173896073</t>
        </is>
      </c>
      <c r="J103" s="18" t="inlineStr">
        <is>
          <t>357704173896081</t>
        </is>
      </c>
      <c r="K103" s="4" t="n">
        <v>2863</v>
      </c>
      <c r="L103" s="4" t="inlineStr">
        <is>
          <t>CEL0092</t>
        </is>
      </c>
    </row>
    <row r="104" hidden="1">
      <c r="A104" s="4" t="inlineStr">
        <is>
          <t>SMARTPHONE MOTO G06</t>
        </is>
      </c>
      <c r="D104" s="4" t="inlineStr">
        <is>
          <t>C05 - BRACELL DUARTINA</t>
        </is>
      </c>
      <c r="F104" s="4" t="inlineStr">
        <is>
          <t>TCX7A69</t>
        </is>
      </c>
      <c r="H104" s="4" t="inlineStr">
        <is>
          <t>ZF525N5R66</t>
        </is>
      </c>
      <c r="I104" s="18" t="inlineStr">
        <is>
          <t>357704173911591</t>
        </is>
      </c>
      <c r="J104" s="18" t="inlineStr">
        <is>
          <t>357704173911609</t>
        </is>
      </c>
      <c r="K104" s="4" t="n">
        <v>2864</v>
      </c>
      <c r="L104" s="4" t="inlineStr">
        <is>
          <t>CEL0093</t>
        </is>
      </c>
    </row>
    <row r="105" hidden="1">
      <c r="A105" s="4" t="inlineStr">
        <is>
          <t>SMARTPHONE MOTO G06</t>
        </is>
      </c>
      <c r="D105" s="4" t="inlineStr">
        <is>
          <t>C05 - BRACELL DUARTINA</t>
        </is>
      </c>
      <c r="F105" s="4" t="inlineStr">
        <is>
          <t>RVI8H42</t>
        </is>
      </c>
      <c r="H105" s="4" t="inlineStr">
        <is>
          <t>ZF525N5QX2</t>
        </is>
      </c>
      <c r="I105" s="18" t="inlineStr">
        <is>
          <t>357704173907672</t>
        </is>
      </c>
      <c r="J105" s="18" t="inlineStr">
        <is>
          <t>357704173907680</t>
        </is>
      </c>
      <c r="K105" s="4" t="n">
        <v>2865</v>
      </c>
      <c r="L105" s="4" t="inlineStr">
        <is>
          <t>CEL0094</t>
        </is>
      </c>
    </row>
    <row r="106" hidden="1">
      <c r="A106" s="4" t="inlineStr">
        <is>
          <t>SMARTPHONE MOTO G06</t>
        </is>
      </c>
      <c r="D106" s="4" t="inlineStr">
        <is>
          <t>C05 - BRACELL DUARTINA</t>
        </is>
      </c>
      <c r="F106" s="4" t="inlineStr">
        <is>
          <t>TLR7J03</t>
        </is>
      </c>
      <c r="H106" s="4" t="inlineStr">
        <is>
          <t>ZF525N5RB2</t>
        </is>
      </c>
      <c r="I106" s="18" t="inlineStr">
        <is>
          <t>357704173911195</t>
        </is>
      </c>
      <c r="J106" s="18" t="inlineStr">
        <is>
          <t>35770417391103</t>
        </is>
      </c>
      <c r="K106" s="4" t="n">
        <v>2866</v>
      </c>
      <c r="L106" s="4" t="inlineStr">
        <is>
          <t>CEL0095</t>
        </is>
      </c>
    </row>
    <row r="107" hidden="1">
      <c r="A107" s="4" t="inlineStr">
        <is>
          <t>SMARTPHONE MOTO G06</t>
        </is>
      </c>
      <c r="D107" s="4" t="inlineStr">
        <is>
          <t>C05 - BRACELL DUARTINA</t>
        </is>
      </c>
      <c r="F107" s="4" t="inlineStr">
        <is>
          <t>TRA0193</t>
        </is>
      </c>
      <c r="H107" s="4" t="inlineStr">
        <is>
          <t>ZF525N4TQC</t>
        </is>
      </c>
      <c r="I107" s="18" t="inlineStr">
        <is>
          <t>357704173883733</t>
        </is>
      </c>
      <c r="J107" s="18" t="inlineStr">
        <is>
          <t>357704173883741</t>
        </is>
      </c>
      <c r="K107" s="4" t="n">
        <v>2884</v>
      </c>
      <c r="L107" s="4" t="inlineStr">
        <is>
          <t>CEL0096</t>
        </is>
      </c>
    </row>
    <row r="108" hidden="1">
      <c r="A108" s="4" t="inlineStr">
        <is>
          <t>SMARTPHONE MOTO G06</t>
        </is>
      </c>
      <c r="D108" s="4" t="inlineStr">
        <is>
          <t>C05 - BRACELL DUARTINA</t>
        </is>
      </c>
      <c r="F108" s="4" t="inlineStr">
        <is>
          <t>TRA0242</t>
        </is>
      </c>
      <c r="H108" s="4" t="inlineStr">
        <is>
          <t>ZF525N5R5P</t>
        </is>
      </c>
      <c r="I108" s="18" t="inlineStr">
        <is>
          <t>357704173910593</t>
        </is>
      </c>
      <c r="J108" s="18" t="inlineStr">
        <is>
          <t>357704173910601</t>
        </is>
      </c>
      <c r="K108" s="4" t="n">
        <v>2812</v>
      </c>
      <c r="L108" s="4" t="inlineStr">
        <is>
          <t>CEL0097</t>
        </is>
      </c>
    </row>
    <row r="109" hidden="1">
      <c r="A109" s="4" t="inlineStr">
        <is>
          <t>SMARTPHONE MOTO G06</t>
        </is>
      </c>
      <c r="D109" s="4" t="inlineStr">
        <is>
          <t>C05 - BRACELL DUARTINA</t>
        </is>
      </c>
      <c r="F109" s="4" t="inlineStr">
        <is>
          <t>TRA0357</t>
        </is>
      </c>
      <c r="H109" s="4" t="inlineStr">
        <is>
          <t>ZF525N4TSR</t>
        </is>
      </c>
      <c r="I109" s="18" t="inlineStr">
        <is>
          <t>35770417388434</t>
        </is>
      </c>
      <c r="J109" s="18" t="inlineStr">
        <is>
          <t>357704173884442</t>
        </is>
      </c>
      <c r="K109" s="4" t="n">
        <v>2815</v>
      </c>
      <c r="L109" s="4" t="inlineStr">
        <is>
          <t>CEL0098</t>
        </is>
      </c>
    </row>
    <row r="110" hidden="1">
      <c r="A110" s="4" t="inlineStr">
        <is>
          <t>SMARTPHONE MOTO G06</t>
        </is>
      </c>
      <c r="D110" s="4" t="inlineStr">
        <is>
          <t>C05 - BRACELL DUARTINA</t>
        </is>
      </c>
      <c r="F110" s="4" t="inlineStr">
        <is>
          <t>TRA0319</t>
        </is>
      </c>
      <c r="H110" s="4" t="inlineStr">
        <is>
          <t>ZF525N5QM5</t>
        </is>
      </c>
      <c r="I110" s="18" t="inlineStr">
        <is>
          <t>357704173911070</t>
        </is>
      </c>
      <c r="J110" s="18" t="inlineStr">
        <is>
          <t>357704173911088</t>
        </is>
      </c>
      <c r="K110" s="4" t="n">
        <v>2817</v>
      </c>
      <c r="L110" s="4" t="inlineStr">
        <is>
          <t>CEL0099</t>
        </is>
      </c>
    </row>
    <row r="111" hidden="1">
      <c r="A111" s="4" t="inlineStr">
        <is>
          <t>SMARTPHONE MOTO G06</t>
        </is>
      </c>
      <c r="D111" s="4" t="inlineStr">
        <is>
          <t>C05 - BRACELL DUARTINA</t>
        </is>
      </c>
      <c r="F111" s="4" t="inlineStr">
        <is>
          <t xml:space="preserve">TRA0320 </t>
        </is>
      </c>
      <c r="H111" s="4" t="inlineStr">
        <is>
          <t>ZF525N5R69</t>
        </is>
      </c>
      <c r="I111" s="18" t="inlineStr">
        <is>
          <t>357704173908753</t>
        </is>
      </c>
      <c r="J111" s="18" t="inlineStr">
        <is>
          <t>357704173908761</t>
        </is>
      </c>
      <c r="K111" s="4" t="n">
        <v>2819</v>
      </c>
      <c r="L111" s="4" t="inlineStr">
        <is>
          <t>CEL0100</t>
        </is>
      </c>
    </row>
    <row r="112" hidden="1">
      <c r="A112" s="4" t="inlineStr">
        <is>
          <t>SMARTPHONE MOTO G06</t>
        </is>
      </c>
      <c r="D112" s="4" t="inlineStr">
        <is>
          <t>C05 - BRACELL DUARTINA</t>
        </is>
      </c>
      <c r="F112" s="4" t="inlineStr">
        <is>
          <t>TRA0324</t>
        </is>
      </c>
      <c r="H112" s="4" t="inlineStr">
        <is>
          <t>ZF525N55PT</t>
        </is>
      </c>
      <c r="I112" s="18" t="inlineStr">
        <is>
          <t>357704173894276</t>
        </is>
      </c>
      <c r="J112" s="18" t="inlineStr">
        <is>
          <t>357704173894284</t>
        </is>
      </c>
      <c r="K112" s="4" t="n">
        <v>2821</v>
      </c>
      <c r="L112" s="4" t="inlineStr">
        <is>
          <t>CEL0101</t>
        </is>
      </c>
    </row>
    <row r="113" hidden="1">
      <c r="A113" s="4" t="inlineStr">
        <is>
          <t>SMARTPHONE MOTO G06</t>
        </is>
      </c>
      <c r="D113" s="4" t="inlineStr">
        <is>
          <t>C05 - BRACELL DUARTINA</t>
        </is>
      </c>
      <c r="F113" s="4" t="inlineStr">
        <is>
          <t xml:space="preserve">TRA0356 </t>
        </is>
      </c>
      <c r="H113" s="4" t="inlineStr">
        <is>
          <t>ZF525N57SC</t>
        </is>
      </c>
      <c r="I113" s="18" t="inlineStr">
        <is>
          <t>357704173890910</t>
        </is>
      </c>
      <c r="J113" s="18" t="inlineStr">
        <is>
          <t>357704173890928</t>
        </is>
      </c>
      <c r="K113" s="4" t="n">
        <v>2824</v>
      </c>
      <c r="L113" s="4" t="inlineStr">
        <is>
          <t>CEL0102</t>
        </is>
      </c>
    </row>
    <row r="114" hidden="1">
      <c r="A114" s="4" t="inlineStr">
        <is>
          <t>SMARTPHONE MOTO G06</t>
        </is>
      </c>
      <c r="D114" s="4" t="inlineStr">
        <is>
          <t>C05 - BRACELL DUARTINA</t>
        </is>
      </c>
      <c r="F114" s="4" t="inlineStr">
        <is>
          <t xml:space="preserve">TRA0304 </t>
        </is>
      </c>
      <c r="H114" s="4" t="inlineStr">
        <is>
          <t>ZF525N59ZG</t>
        </is>
      </c>
      <c r="I114" s="18" t="inlineStr">
        <is>
          <t>357704173902392</t>
        </is>
      </c>
      <c r="J114" s="18" t="inlineStr">
        <is>
          <t>357704173902400</t>
        </is>
      </c>
      <c r="K114" s="4" t="n">
        <v>2825</v>
      </c>
      <c r="L114" s="4" t="inlineStr">
        <is>
          <t>CEL0103</t>
        </is>
      </c>
    </row>
    <row r="115" hidden="1">
      <c r="A115" s="4" t="inlineStr">
        <is>
          <t>SMARTPHONE MOTO G06</t>
        </is>
      </c>
      <c r="D115" s="4" t="inlineStr">
        <is>
          <t>C05 - BRACELL DUARTINA</t>
        </is>
      </c>
      <c r="F115" s="4" t="inlineStr">
        <is>
          <t xml:space="preserve">TRA0362 </t>
        </is>
      </c>
      <c r="H115" s="4" t="inlineStr">
        <is>
          <t>ZF525N5R26</t>
        </is>
      </c>
      <c r="I115" s="18" t="inlineStr">
        <is>
          <t>357704173912136</t>
        </is>
      </c>
      <c r="J115" s="18" t="inlineStr">
        <is>
          <t>357704173912144</t>
        </is>
      </c>
      <c r="K115" s="4" t="n">
        <v>2826</v>
      </c>
      <c r="L115" s="4" t="inlineStr">
        <is>
          <t>CEL0104</t>
        </is>
      </c>
    </row>
    <row r="116" hidden="1">
      <c r="A116" s="4" t="inlineStr">
        <is>
          <t>SMARTPHONE MOTO G06</t>
        </is>
      </c>
      <c r="D116" s="4" t="inlineStr">
        <is>
          <t>C05 - BRACELL DUARTINA</t>
        </is>
      </c>
      <c r="F116" s="4" t="inlineStr">
        <is>
          <t xml:space="preserve">TRA0374 </t>
        </is>
      </c>
      <c r="H116" s="4" t="inlineStr">
        <is>
          <t>ZF525N5L7L</t>
        </is>
      </c>
      <c r="I116" s="18" t="inlineStr">
        <is>
          <t>357704173892734</t>
        </is>
      </c>
      <c r="J116" s="18" t="inlineStr">
        <is>
          <t>357704173892742</t>
        </is>
      </c>
      <c r="K116" s="4" t="n">
        <v>2828</v>
      </c>
      <c r="L116" s="4" t="inlineStr">
        <is>
          <t>CEL0105</t>
        </is>
      </c>
    </row>
    <row r="117" hidden="1">
      <c r="A117" s="4" t="inlineStr">
        <is>
          <t>SMARTPHONE MOTO G06</t>
        </is>
      </c>
      <c r="D117" s="4" t="inlineStr">
        <is>
          <t>C05 - BRACELL DUARTINA</t>
        </is>
      </c>
      <c r="F117" s="4" t="inlineStr">
        <is>
          <t>TRA0375</t>
        </is>
      </c>
      <c r="H117" s="4" t="inlineStr">
        <is>
          <t>ZF525N5DXN</t>
        </is>
      </c>
      <c r="I117" s="18" t="inlineStr">
        <is>
          <t>357704173913571</t>
        </is>
      </c>
      <c r="J117" s="18" t="inlineStr">
        <is>
          <t>357704173913589</t>
        </is>
      </c>
      <c r="K117" s="4" t="n">
        <v>2831</v>
      </c>
      <c r="L117" s="4" t="inlineStr">
        <is>
          <t>CEL0106</t>
        </is>
      </c>
    </row>
    <row r="118" hidden="1">
      <c r="A118" s="4" t="inlineStr">
        <is>
          <t>SMARTPHONE MOTO G06</t>
        </is>
      </c>
      <c r="D118" s="4" t="inlineStr">
        <is>
          <t>C05 - BRACELL DUARTINA</t>
        </is>
      </c>
      <c r="F118" s="4" t="inlineStr">
        <is>
          <t xml:space="preserve">TRA0381 </t>
        </is>
      </c>
      <c r="H118" s="4" t="inlineStr">
        <is>
          <t>ZF525N57GB</t>
        </is>
      </c>
      <c r="I118" s="18" t="inlineStr">
        <is>
          <t>357704173893856</t>
        </is>
      </c>
      <c r="J118" s="18" t="inlineStr">
        <is>
          <t>357704173893864</t>
        </is>
      </c>
      <c r="K118" s="4" t="n">
        <v>2833</v>
      </c>
      <c r="L118" s="4" t="inlineStr">
        <is>
          <t>CEL0107</t>
        </is>
      </c>
    </row>
    <row r="119" hidden="1">
      <c r="A119" s="4" t="inlineStr">
        <is>
          <t>SMARTPHONE MOTO G06</t>
        </is>
      </c>
      <c r="D119" s="4" t="inlineStr">
        <is>
          <t>C05 - BRACELL DUARTINA</t>
        </is>
      </c>
      <c r="F119" s="4" t="inlineStr">
        <is>
          <t xml:space="preserve">TRA0382 </t>
        </is>
      </c>
      <c r="H119" s="4" t="inlineStr">
        <is>
          <t>ZF525N57DX</t>
        </is>
      </c>
      <c r="I119" s="18" t="inlineStr">
        <is>
          <t>357704173890811</t>
        </is>
      </c>
      <c r="J119" s="18" t="inlineStr">
        <is>
          <t>357704173890829</t>
        </is>
      </c>
      <c r="K119" s="4" t="n">
        <v>2834</v>
      </c>
      <c r="L119" s="4" t="inlineStr">
        <is>
          <t>CEL0108</t>
        </is>
      </c>
    </row>
    <row r="120" hidden="1">
      <c r="A120" s="4" t="inlineStr">
        <is>
          <t>SMARTPHONE MOTO G06</t>
        </is>
      </c>
      <c r="D120" s="4" t="inlineStr">
        <is>
          <t>C05 - BRACELL DUARTINA</t>
        </is>
      </c>
      <c r="F120" s="4" t="inlineStr">
        <is>
          <t xml:space="preserve">TRA0387 </t>
        </is>
      </c>
      <c r="H120" s="4" t="inlineStr">
        <is>
          <t>ZF525N5CGX</t>
        </is>
      </c>
      <c r="I120" s="18" t="inlineStr">
        <is>
          <t>357704173893310</t>
        </is>
      </c>
      <c r="J120" s="18" t="inlineStr">
        <is>
          <t>357704173893328</t>
        </is>
      </c>
      <c r="K120" s="4" t="n">
        <v>2836</v>
      </c>
      <c r="L120" s="4" t="inlineStr">
        <is>
          <t>CEL0109</t>
        </is>
      </c>
    </row>
    <row r="121" hidden="1">
      <c r="A121" s="4" t="inlineStr">
        <is>
          <t>SMARTPHONE MOTO G06</t>
        </is>
      </c>
      <c r="D121" s="4" t="inlineStr">
        <is>
          <t>C05 - BRACELL DUARTINA</t>
        </is>
      </c>
      <c r="F121" s="4" t="inlineStr">
        <is>
          <t xml:space="preserve">TRA0489 </t>
        </is>
      </c>
      <c r="H121" s="4" t="inlineStr">
        <is>
          <t>ZF525N5LCG</t>
        </is>
      </c>
      <c r="I121" s="18" t="inlineStr">
        <is>
          <t>357704173893211</t>
        </is>
      </c>
      <c r="J121" s="18" t="inlineStr">
        <is>
          <t>357704173893229</t>
        </is>
      </c>
      <c r="K121" s="4" t="n">
        <v>2838</v>
      </c>
      <c r="L121" s="4" t="inlineStr">
        <is>
          <t>CEL0110</t>
        </is>
      </c>
    </row>
    <row r="122" hidden="1">
      <c r="A122" s="4" t="inlineStr">
        <is>
          <t>SMARTPHONE MOTO G06</t>
        </is>
      </c>
      <c r="D122" s="4" t="inlineStr">
        <is>
          <t>C05 - BRACELL DUARTINA</t>
        </is>
      </c>
      <c r="F122" s="4" t="inlineStr">
        <is>
          <t xml:space="preserve">TRA0514 </t>
        </is>
      </c>
      <c r="H122" s="4" t="inlineStr">
        <is>
          <t>ZF525N575W</t>
        </is>
      </c>
      <c r="I122" s="18" t="inlineStr">
        <is>
          <t>357704173871233</t>
        </is>
      </c>
      <c r="J122" s="18" t="inlineStr">
        <is>
          <t>357704173871241</t>
        </is>
      </c>
      <c r="K122" s="4" t="n">
        <v>2839</v>
      </c>
      <c r="L122" s="4" t="inlineStr">
        <is>
          <t>CEL0111</t>
        </is>
      </c>
    </row>
    <row r="123" hidden="1">
      <c r="A123" s="4" t="inlineStr">
        <is>
          <t>SMARTPHONE MOTO G06</t>
        </is>
      </c>
      <c r="D123" s="4" t="inlineStr">
        <is>
          <t>C05 - BRACELL DUARTINA</t>
        </is>
      </c>
      <c r="F123" s="4" t="inlineStr">
        <is>
          <t xml:space="preserve">TRA0518 </t>
        </is>
      </c>
      <c r="H123" s="4" t="inlineStr">
        <is>
          <t>ZF525N5DRL</t>
        </is>
      </c>
      <c r="I123" s="18" t="inlineStr">
        <is>
          <t>357704173912219</t>
        </is>
      </c>
      <c r="J123" s="18" t="inlineStr">
        <is>
          <t>357704173912227</t>
        </is>
      </c>
      <c r="K123" s="4" t="n">
        <v>2842</v>
      </c>
      <c r="L123" s="4" t="inlineStr">
        <is>
          <t>CEL0112</t>
        </is>
      </c>
    </row>
    <row r="124" hidden="1">
      <c r="A124" s="4" t="inlineStr">
        <is>
          <t>SMARTPHONE MOTO G06</t>
        </is>
      </c>
      <c r="D124" s="4" t="inlineStr">
        <is>
          <t>C05 - BRACELL DUARTINA</t>
        </is>
      </c>
      <c r="F124" s="4" t="inlineStr">
        <is>
          <t xml:space="preserve">TRA0520 </t>
        </is>
      </c>
      <c r="H124" s="4" t="inlineStr">
        <is>
          <t>ZF525N5KQN</t>
        </is>
      </c>
      <c r="I124" s="18" t="inlineStr">
        <is>
          <t>357704173869237</t>
        </is>
      </c>
      <c r="J124" s="18" t="inlineStr">
        <is>
          <t>357704173869245</t>
        </is>
      </c>
      <c r="K124" s="4" t="n">
        <v>2844</v>
      </c>
      <c r="L124" s="4" t="inlineStr">
        <is>
          <t>CEL0113</t>
        </is>
      </c>
    </row>
    <row r="125" hidden="1">
      <c r="A125" s="4" t="inlineStr">
        <is>
          <t>SMARTPHONE MOTO G06</t>
        </is>
      </c>
      <c r="D125" s="4" t="inlineStr">
        <is>
          <t>C05 - BRACELL DUARTINA</t>
        </is>
      </c>
      <c r="F125" s="4" t="inlineStr">
        <is>
          <t xml:space="preserve">TRA0522 </t>
        </is>
      </c>
      <c r="H125" s="4" t="inlineStr">
        <is>
          <t>ZF525N54QQ</t>
        </is>
      </c>
      <c r="I125" s="18" t="inlineStr">
        <is>
          <t>357704173862711</t>
        </is>
      </c>
      <c r="J125" s="18" t="inlineStr">
        <is>
          <t>357704173862729</t>
        </is>
      </c>
      <c r="K125" s="4" t="n">
        <v>2846</v>
      </c>
      <c r="L125" s="4" t="inlineStr">
        <is>
          <t>CEL0114</t>
        </is>
      </c>
    </row>
    <row r="126" hidden="1">
      <c r="A126" s="4" t="inlineStr">
        <is>
          <t>SMARTPHONE MOTO G06</t>
        </is>
      </c>
      <c r="D126" s="4" t="inlineStr">
        <is>
          <t>C05 - BRACELL DUARTINA</t>
        </is>
      </c>
      <c r="F126" s="4" t="inlineStr">
        <is>
          <t xml:space="preserve">TRA0542 </t>
        </is>
      </c>
      <c r="H126" s="4" t="inlineStr">
        <is>
          <t>ZF525N56CX</t>
        </is>
      </c>
      <c r="I126" s="18" t="inlineStr">
        <is>
          <t>357704173892171</t>
        </is>
      </c>
      <c r="J126" s="18" t="inlineStr">
        <is>
          <t>357704173892189</t>
        </is>
      </c>
      <c r="K126" s="4" t="n">
        <v>2850</v>
      </c>
      <c r="L126" s="4" t="inlineStr">
        <is>
          <t>CEL0115</t>
        </is>
      </c>
    </row>
    <row r="127" hidden="1">
      <c r="A127" s="4" t="inlineStr">
        <is>
          <t>SMARTPHONE MOTO G06</t>
        </is>
      </c>
      <c r="D127" s="4" t="inlineStr">
        <is>
          <t>C05 - BRACELL DUARTINA</t>
        </is>
      </c>
      <c r="F127" s="4" t="inlineStr">
        <is>
          <t xml:space="preserve">TRA0550 </t>
        </is>
      </c>
      <c r="H127" s="4" t="inlineStr">
        <is>
          <t>ZF525N5FM7</t>
        </is>
      </c>
      <c r="I127" s="18" t="inlineStr">
        <is>
          <t>357704173869997</t>
        </is>
      </c>
      <c r="J127" s="18" t="inlineStr">
        <is>
          <t>357704173870003</t>
        </is>
      </c>
      <c r="K127" s="4" t="n">
        <v>2853</v>
      </c>
      <c r="L127" s="4" t="inlineStr">
        <is>
          <t>CEL0116</t>
        </is>
      </c>
    </row>
    <row r="128" hidden="1">
      <c r="A128" s="4" t="inlineStr">
        <is>
          <t>SMARTPHONE MOTO G06</t>
        </is>
      </c>
      <c r="D128" s="4" t="inlineStr">
        <is>
          <t>C05 - BRACELL DUARTINA</t>
        </is>
      </c>
      <c r="F128" s="4" t="inlineStr">
        <is>
          <t xml:space="preserve">TRA0553 </t>
        </is>
      </c>
      <c r="H128" s="4" t="inlineStr">
        <is>
          <t>ZF525N5KC7</t>
        </is>
      </c>
      <c r="I128" s="18" t="inlineStr">
        <is>
          <t>357704173893716</t>
        </is>
      </c>
      <c r="J128" s="18" t="inlineStr">
        <is>
          <t>357704173893724</t>
        </is>
      </c>
      <c r="K128" s="4" t="n">
        <v>2854</v>
      </c>
      <c r="L128" s="4" t="inlineStr">
        <is>
          <t>CEL0117</t>
        </is>
      </c>
    </row>
    <row r="129" hidden="1">
      <c r="A129" s="4" t="inlineStr">
        <is>
          <t>SMARTPHONE MOTO G06</t>
        </is>
      </c>
      <c r="D129" s="4" t="inlineStr">
        <is>
          <t>C05 - BRACELL DUARTINA</t>
        </is>
      </c>
      <c r="F129" s="4" t="inlineStr">
        <is>
          <t xml:space="preserve">TRA0556 </t>
        </is>
      </c>
      <c r="H129" s="4" t="inlineStr">
        <is>
          <t>ZF525N57FZ</t>
        </is>
      </c>
      <c r="I129" s="18" t="inlineStr">
        <is>
          <t>357704173895976</t>
        </is>
      </c>
      <c r="J129" s="18" t="inlineStr">
        <is>
          <t>357704173895984</t>
        </is>
      </c>
      <c r="K129" s="4" t="n">
        <v>2856</v>
      </c>
      <c r="L129" s="4" t="inlineStr">
        <is>
          <t>CEL0118</t>
        </is>
      </c>
    </row>
    <row r="130" hidden="1">
      <c r="A130" s="4" t="inlineStr">
        <is>
          <t>SMARTPHONE MOTO G06</t>
        </is>
      </c>
      <c r="D130" s="4" t="inlineStr">
        <is>
          <t>C05 - BRACELL DUARTINA</t>
        </is>
      </c>
      <c r="F130" s="4" t="inlineStr">
        <is>
          <t xml:space="preserve">TRA0402 </t>
        </is>
      </c>
      <c r="H130" s="4" t="inlineStr">
        <is>
          <t>ZF525N5KJ9</t>
        </is>
      </c>
      <c r="I130" s="18" t="inlineStr">
        <is>
          <t>357704173869138</t>
        </is>
      </c>
      <c r="J130" s="18" t="inlineStr">
        <is>
          <t>357704173869146</t>
        </is>
      </c>
      <c r="K130" s="4" t="n">
        <v>2857</v>
      </c>
      <c r="L130" s="4" t="inlineStr">
        <is>
          <t>CEL0119</t>
        </is>
      </c>
    </row>
    <row r="131" hidden="1">
      <c r="A131" s="39" t="inlineStr">
        <is>
          <t>SMARTPHONE MOTO G06</t>
        </is>
      </c>
      <c r="B131" s="39" t="n"/>
      <c r="C131" s="39" t="n"/>
      <c r="D131" s="39" t="inlineStr">
        <is>
          <t>C03 - BRACELL DOURADO</t>
        </is>
      </c>
      <c r="E131" s="39" t="n"/>
      <c r="F131" s="39" t="inlineStr">
        <is>
          <t>TRA0363</t>
        </is>
      </c>
      <c r="G131" s="39" t="n"/>
      <c r="H131" s="39" t="inlineStr">
        <is>
          <t>ZF525K97BG</t>
        </is>
      </c>
      <c r="I131" s="42" t="inlineStr">
        <is>
          <t>352199984885677</t>
        </is>
      </c>
      <c r="J131" s="42" t="inlineStr">
        <is>
          <t>352199984885685</t>
        </is>
      </c>
      <c r="K131" s="39" t="inlineStr">
        <is>
          <t>S/FICHA</t>
        </is>
      </c>
      <c r="L131" s="39" t="inlineStr">
        <is>
          <t>S/PATRIMÔNIO</t>
        </is>
      </c>
    </row>
    <row r="132" hidden="1">
      <c r="A132" s="39" t="inlineStr">
        <is>
          <t>SMARTPHONE MOTO G06</t>
        </is>
      </c>
      <c r="B132" s="39" t="n"/>
      <c r="C132" s="39" t="n"/>
      <c r="D132" s="39" t="inlineStr">
        <is>
          <t>C03 - BRACELL DOURADO</t>
        </is>
      </c>
      <c r="E132" s="39" t="n"/>
      <c r="F132" s="39" t="inlineStr">
        <is>
          <t>TRA0448</t>
        </is>
      </c>
      <c r="G132" s="39" t="n"/>
      <c r="H132" s="39" t="inlineStr">
        <is>
          <t>ZF525GTN93</t>
        </is>
      </c>
      <c r="I132" s="42" t="inlineStr">
        <is>
          <t>352199982496097</t>
        </is>
      </c>
      <c r="J132" s="42" t="inlineStr">
        <is>
          <t>352199982496105</t>
        </is>
      </c>
      <c r="K132" s="39" t="inlineStr">
        <is>
          <t>S/FICHA</t>
        </is>
      </c>
      <c r="L132" s="39" t="inlineStr">
        <is>
          <t>S/PATRIMÔNIO</t>
        </is>
      </c>
    </row>
    <row r="133" hidden="1">
      <c r="A133" s="39" t="inlineStr">
        <is>
          <t>SMARTPHONE MOTO G06</t>
        </is>
      </c>
      <c r="B133" s="39" t="n"/>
      <c r="C133" s="39" t="n"/>
      <c r="D133" s="39" t="inlineStr">
        <is>
          <t>C03 - BRACELL DOURADO</t>
        </is>
      </c>
      <c r="E133" s="39" t="n"/>
      <c r="F133" s="39" t="inlineStr">
        <is>
          <t>TRA0451</t>
        </is>
      </c>
      <c r="G133" s="39" t="n"/>
      <c r="H133" s="39" t="inlineStr">
        <is>
          <t>ZF525K93NS</t>
        </is>
      </c>
      <c r="I133" s="42" t="inlineStr">
        <is>
          <t>352199984861819</t>
        </is>
      </c>
      <c r="J133" s="42" t="inlineStr">
        <is>
          <t>352199984861827</t>
        </is>
      </c>
      <c r="K133" s="39" t="inlineStr">
        <is>
          <t>S/FICHA</t>
        </is>
      </c>
      <c r="L133" s="39" t="inlineStr">
        <is>
          <t>S/PATRIMÔNIO</t>
        </is>
      </c>
    </row>
    <row r="134" hidden="1">
      <c r="A134" s="39" t="inlineStr">
        <is>
          <t>SMARTPHONE MOTO G06</t>
        </is>
      </c>
      <c r="B134" s="39" t="n"/>
      <c r="C134" s="39" t="n"/>
      <c r="D134" s="39" t="inlineStr">
        <is>
          <t>C03 - BRACELL DOURADO</t>
        </is>
      </c>
      <c r="E134" s="39" t="n"/>
      <c r="F134" s="39" t="inlineStr">
        <is>
          <t>TRA0459</t>
        </is>
      </c>
      <c r="G134" s="39" t="n"/>
      <c r="H134" s="39" t="inlineStr">
        <is>
          <t>ZF525K54K9</t>
        </is>
      </c>
      <c r="I134" s="42" t="inlineStr">
        <is>
          <t>352199984803019</t>
        </is>
      </c>
      <c r="J134" s="42" t="inlineStr">
        <is>
          <t>352199984803027</t>
        </is>
      </c>
      <c r="K134" s="39" t="inlineStr">
        <is>
          <t>S/FICHA</t>
        </is>
      </c>
      <c r="L134" s="39" t="inlineStr">
        <is>
          <t>S/PATRIMÔNIO</t>
        </is>
      </c>
    </row>
    <row r="135" hidden="1">
      <c r="A135" s="39" t="inlineStr">
        <is>
          <t>SMARTPHONE MOTO G06</t>
        </is>
      </c>
      <c r="B135" s="39" t="n"/>
      <c r="C135" s="39" t="n"/>
      <c r="D135" s="39" t="inlineStr">
        <is>
          <t>C03 - BRACELL DOURADO</t>
        </is>
      </c>
      <c r="E135" s="39" t="n"/>
      <c r="F135" s="39" t="inlineStr">
        <is>
          <t>TRA0460</t>
        </is>
      </c>
      <c r="G135" s="39" t="n"/>
      <c r="H135" s="39" t="inlineStr">
        <is>
          <t>ZF525K4NQB</t>
        </is>
      </c>
      <c r="I135" s="42" t="inlineStr">
        <is>
          <t>352199984786636</t>
        </is>
      </c>
      <c r="J135" s="42" t="inlineStr">
        <is>
          <t>352199984786644</t>
        </is>
      </c>
      <c r="K135" s="39" t="inlineStr">
        <is>
          <t>S/FICHA</t>
        </is>
      </c>
      <c r="L135" s="39" t="inlineStr">
        <is>
          <t>S/PATRIMÔNIO</t>
        </is>
      </c>
    </row>
    <row r="136" hidden="1">
      <c r="A136" s="39" t="inlineStr">
        <is>
          <t>SMARTPHONE MOTO G06</t>
        </is>
      </c>
      <c r="B136" s="39" t="n"/>
      <c r="C136" s="39" t="n"/>
      <c r="D136" s="39" t="inlineStr">
        <is>
          <t>C03 - BRACELL DOURADO</t>
        </is>
      </c>
      <c r="E136" s="39" t="n"/>
      <c r="F136" s="39" t="inlineStr">
        <is>
          <t>GEREMIAS DOS SANTOS</t>
        </is>
      </c>
      <c r="G136" s="39" t="n"/>
      <c r="H136" s="39" t="inlineStr">
        <is>
          <t>ZF525K8VLX</t>
        </is>
      </c>
      <c r="I136" s="42" t="inlineStr">
        <is>
          <t>352199984871552</t>
        </is>
      </c>
      <c r="J136" s="42" t="inlineStr">
        <is>
          <t>352199984871560</t>
        </is>
      </c>
      <c r="K136" s="39" t="inlineStr">
        <is>
          <t>S/FICHA</t>
        </is>
      </c>
      <c r="L136" s="39" t="inlineStr">
        <is>
          <t>S/PATRIMÔNIO</t>
        </is>
      </c>
    </row>
    <row r="137" hidden="1">
      <c r="A137" s="39" t="inlineStr">
        <is>
          <t>SMARTPHONE MOTO G06</t>
        </is>
      </c>
      <c r="B137" s="39" t="n"/>
      <c r="C137" s="39" t="n"/>
      <c r="D137" s="39" t="inlineStr">
        <is>
          <t>C03 - BRACELL DOURADO</t>
        </is>
      </c>
      <c r="E137" s="39" t="n"/>
      <c r="F137" s="39" t="inlineStr">
        <is>
          <t>SUDARIO BARBOZA DE MIRANDA JUNIOR</t>
        </is>
      </c>
      <c r="G137" s="39" t="n"/>
      <c r="H137" s="39" t="inlineStr">
        <is>
          <t>ZF525N537F</t>
        </is>
      </c>
      <c r="I137" s="42" t="inlineStr">
        <is>
          <t>357704173883832</t>
        </is>
      </c>
      <c r="J137" s="42" t="inlineStr">
        <is>
          <t>357704173883840</t>
        </is>
      </c>
      <c r="K137" s="39" t="inlineStr">
        <is>
          <t>S/FICHA</t>
        </is>
      </c>
      <c r="L137" s="39" t="inlineStr">
        <is>
          <t>S/PATRIMÔNIO</t>
        </is>
      </c>
    </row>
    <row r="138" hidden="1">
      <c r="A138" s="39" t="inlineStr">
        <is>
          <t>SMARTPHONE MOTO G06</t>
        </is>
      </c>
      <c r="B138" s="39" t="n"/>
      <c r="C138" s="39" t="n"/>
      <c r="D138" s="39" t="inlineStr">
        <is>
          <t>C03 - BRACELL DOURADO</t>
        </is>
      </c>
      <c r="E138" s="39" t="n"/>
      <c r="F138" s="39" t="inlineStr">
        <is>
          <t>RAFAEL DA SILVA</t>
        </is>
      </c>
      <c r="G138" s="39" t="n"/>
      <c r="H138" s="39" t="inlineStr">
        <is>
          <t>ZF525N5JPD</t>
        </is>
      </c>
      <c r="I138" s="42" t="inlineStr">
        <is>
          <t>357704173892957</t>
        </is>
      </c>
      <c r="J138" s="42" t="inlineStr">
        <is>
          <t>357704173892965</t>
        </is>
      </c>
      <c r="K138" s="39" t="inlineStr">
        <is>
          <t>S/FICHA</t>
        </is>
      </c>
      <c r="L138" s="39" t="inlineStr">
        <is>
          <t>S/PATRIMÔNIO</t>
        </is>
      </c>
    </row>
    <row r="139" hidden="1">
      <c r="A139" s="39" t="inlineStr">
        <is>
          <t>SMARTPHONE MOTO G06</t>
        </is>
      </c>
      <c r="B139" s="39" t="n"/>
      <c r="C139" s="39" t="n"/>
      <c r="D139" s="39" t="inlineStr">
        <is>
          <t>C03 - BRACELL DOURADO</t>
        </is>
      </c>
      <c r="E139" s="39" t="n"/>
      <c r="F139" s="39" t="inlineStr">
        <is>
          <t>CICERO ALEXANDRE CONSTANTINO</t>
        </is>
      </c>
      <c r="G139" s="39" t="n"/>
      <c r="H139" s="39" t="inlineStr">
        <is>
          <t>ZF525N3WNR</t>
        </is>
      </c>
      <c r="I139" s="42" t="inlineStr">
        <is>
          <t>357704173885191</t>
        </is>
      </c>
      <c r="J139" s="42" t="inlineStr">
        <is>
          <t>357704173885209</t>
        </is>
      </c>
      <c r="K139" s="39" t="inlineStr">
        <is>
          <t>S/FICHA</t>
        </is>
      </c>
      <c r="L139" s="39" t="inlineStr">
        <is>
          <t>S/PATRIMÔNIO</t>
        </is>
      </c>
    </row>
    <row r="140" hidden="1">
      <c r="A140" s="39" t="inlineStr">
        <is>
          <t>SMARTPHONE MOTO G06</t>
        </is>
      </c>
      <c r="B140" s="39" t="n"/>
      <c r="C140" s="39" t="n"/>
      <c r="D140" s="39" t="inlineStr">
        <is>
          <t>C03 - BRACELL DOURADO</t>
        </is>
      </c>
      <c r="E140" s="39" t="n"/>
      <c r="F140" s="39" t="inlineStr">
        <is>
          <t>JOSE GERALDO DOS SANTOS</t>
        </is>
      </c>
      <c r="G140" s="39" t="n"/>
      <c r="H140" s="39" t="inlineStr">
        <is>
          <t>ZF525N4TZ9</t>
        </is>
      </c>
      <c r="I140" s="42" t="inlineStr">
        <is>
          <t>357704173882792</t>
        </is>
      </c>
      <c r="J140" s="42" t="inlineStr">
        <is>
          <t>357704173882800</t>
        </is>
      </c>
      <c r="K140" s="39" t="inlineStr">
        <is>
          <t>S/FICHA</t>
        </is>
      </c>
      <c r="L140" s="39" t="inlineStr">
        <is>
          <t>S/PATRIMÔNIO</t>
        </is>
      </c>
    </row>
    <row r="141" hidden="1">
      <c r="A141" s="39" t="inlineStr">
        <is>
          <t>SMARTPHONE MOTO G06</t>
        </is>
      </c>
      <c r="B141" s="39" t="n"/>
      <c r="C141" s="39" t="n"/>
      <c r="D141" s="39" t="inlineStr">
        <is>
          <t>C03 - BRACELL DOURADO</t>
        </is>
      </c>
      <c r="E141" s="39" t="n"/>
      <c r="F141" s="39" t="inlineStr">
        <is>
          <t>SILVIO CARLOS FACCO</t>
        </is>
      </c>
      <c r="G141" s="39" t="n"/>
      <c r="H141" s="39" t="inlineStr">
        <is>
          <t>ZF525N59LD</t>
        </is>
      </c>
      <c r="I141" s="42" t="inlineStr">
        <is>
          <t>357704173899036</t>
        </is>
      </c>
      <c r="J141" s="42" t="inlineStr">
        <is>
          <t>357704173899044</t>
        </is>
      </c>
      <c r="K141" s="39" t="inlineStr">
        <is>
          <t>S/FICHA</t>
        </is>
      </c>
      <c r="L141" s="39" t="inlineStr">
        <is>
          <t>S/PATRIMÔNIO</t>
        </is>
      </c>
    </row>
    <row r="142" hidden="1">
      <c r="A142" s="39" t="inlineStr">
        <is>
          <t>SMARTPHONE MOTO G06</t>
        </is>
      </c>
      <c r="B142" s="39" t="n"/>
      <c r="C142" s="39" t="n"/>
      <c r="D142" s="39" t="inlineStr">
        <is>
          <t>C03 - BRACELL DOURADO</t>
        </is>
      </c>
      <c r="E142" s="39" t="n"/>
      <c r="F142" s="39" t="inlineStr">
        <is>
          <t>TRA0567</t>
        </is>
      </c>
      <c r="G142" s="39" t="n"/>
      <c r="H142" s="39" t="inlineStr">
        <is>
          <t>ZF525N3WRP</t>
        </is>
      </c>
      <c r="I142" s="42" t="inlineStr">
        <is>
          <t>357704173885779</t>
        </is>
      </c>
      <c r="J142" s="42" t="inlineStr">
        <is>
          <t>357704173885787</t>
        </is>
      </c>
      <c r="K142" s="39" t="inlineStr">
        <is>
          <t>S/FICHA</t>
        </is>
      </c>
      <c r="L142" s="39" t="inlineStr">
        <is>
          <t>S/PATRIMÔNIO</t>
        </is>
      </c>
    </row>
    <row r="143" hidden="1">
      <c r="A143" s="4" t="inlineStr">
        <is>
          <t>SMARTPHONE MOTO G06</t>
        </is>
      </c>
      <c r="D143" s="4" t="inlineStr">
        <is>
          <t>C02 - BRACELL CBO</t>
        </is>
      </c>
      <c r="F143" s="4" t="inlineStr">
        <is>
          <t>CMH0436</t>
        </is>
      </c>
      <c r="H143" s="4" t="inlineStr">
        <is>
          <t>ZF525MQBNH</t>
        </is>
      </c>
      <c r="I143" s="18" t="inlineStr">
        <is>
          <t>355722597076355</t>
        </is>
      </c>
      <c r="J143" s="18" t="inlineStr">
        <is>
          <t>355722597076363</t>
        </is>
      </c>
      <c r="K143" s="4" t="inlineStr">
        <is>
          <t>2908</t>
        </is>
      </c>
      <c r="L143" s="4" t="inlineStr">
        <is>
          <t>CEL0163</t>
        </is>
      </c>
    </row>
    <row r="144" hidden="1">
      <c r="A144" s="4" t="inlineStr">
        <is>
          <t>SMARTPHONE MOTO G06</t>
        </is>
      </c>
      <c r="D144" s="4" t="inlineStr">
        <is>
          <t>C02 - BRACELL CBO</t>
        </is>
      </c>
      <c r="F144" s="4" t="inlineStr">
        <is>
          <t>TRA0552</t>
        </is>
      </c>
      <c r="H144" s="4" t="inlineStr">
        <is>
          <t>ZF525MQBP3</t>
        </is>
      </c>
      <c r="I144" s="18" t="inlineStr">
        <is>
          <t>355722597099670</t>
        </is>
      </c>
      <c r="J144" s="18" t="inlineStr">
        <is>
          <t>355722597099688</t>
        </is>
      </c>
      <c r="K144" s="4" t="inlineStr">
        <is>
          <t>2905</t>
        </is>
      </c>
      <c r="L144" s="4" t="inlineStr">
        <is>
          <t>CEL0164</t>
        </is>
      </c>
    </row>
    <row r="145" hidden="1">
      <c r="A145" s="4" t="inlineStr">
        <is>
          <t>SMARTPHONE MOTO G06</t>
        </is>
      </c>
      <c r="D145" s="4" t="inlineStr">
        <is>
          <t>C02 - BRACELL CBO</t>
        </is>
      </c>
      <c r="F145" s="4" t="inlineStr">
        <is>
          <t>CMH484</t>
        </is>
      </c>
      <c r="H145" s="4" t="inlineStr">
        <is>
          <t>ZF525MQCFL</t>
        </is>
      </c>
      <c r="I145" s="18" t="inlineStr">
        <is>
          <t>355722597099910</t>
        </is>
      </c>
      <c r="J145" s="18" t="inlineStr">
        <is>
          <t>355722597099928</t>
        </is>
      </c>
      <c r="K145" s="4" t="n">
        <v>2906</v>
      </c>
      <c r="L145" s="4" t="inlineStr">
        <is>
          <t>CEL0165</t>
        </is>
      </c>
    </row>
    <row r="146" hidden="1">
      <c r="A146" s="4" t="inlineStr">
        <is>
          <t>SMARTPHONE MOTO G06</t>
        </is>
      </c>
      <c r="D146" s="4" t="inlineStr">
        <is>
          <t>C02 - BRACELL CBO</t>
        </is>
      </c>
      <c r="F146" s="4" t="inlineStr">
        <is>
          <t>TRA0551</t>
        </is>
      </c>
      <c r="H146" s="4" t="inlineStr">
        <is>
          <t>ZF525MRFRD</t>
        </is>
      </c>
      <c r="I146" s="18" t="inlineStr">
        <is>
          <t>355722597264993</t>
        </is>
      </c>
      <c r="J146" s="18" t="inlineStr">
        <is>
          <t>355722597265008</t>
        </is>
      </c>
      <c r="K146" s="4" t="n">
        <v>2909</v>
      </c>
      <c r="L146" s="4" t="inlineStr">
        <is>
          <t>CEL0166</t>
        </is>
      </c>
    </row>
    <row r="147" hidden="1">
      <c r="A147" s="4" t="inlineStr">
        <is>
          <t>SMARTPHONE MOTO G06</t>
        </is>
      </c>
      <c r="D147" s="4" t="inlineStr">
        <is>
          <t>C02 - BRACELL CBO</t>
        </is>
      </c>
      <c r="F147" s="4" t="inlineStr">
        <is>
          <t>TRA0436</t>
        </is>
      </c>
      <c r="H147" s="4" t="inlineStr">
        <is>
          <t>ZF525MRJ98</t>
        </is>
      </c>
      <c r="I147" s="18" t="inlineStr">
        <is>
          <t>355722597270610</t>
        </is>
      </c>
      <c r="J147" s="18" t="inlineStr">
        <is>
          <t>355722597270628</t>
        </is>
      </c>
      <c r="K147" s="4" t="n">
        <v>2910</v>
      </c>
      <c r="L147" s="4" t="inlineStr">
        <is>
          <t>CEL0167</t>
        </is>
      </c>
    </row>
    <row r="148" hidden="1">
      <c r="A148" s="4" t="inlineStr">
        <is>
          <t>SMARTPHONE MOTO G06</t>
        </is>
      </c>
      <c r="D148" s="4" t="inlineStr">
        <is>
          <t>C02 - BRACELL CBO</t>
        </is>
      </c>
      <c r="F148" s="4" t="inlineStr">
        <is>
          <t>TRA0270</t>
        </is>
      </c>
      <c r="H148" s="4" t="inlineStr">
        <is>
          <t>ZF525MRGDH</t>
        </is>
      </c>
      <c r="I148" s="18" t="inlineStr">
        <is>
          <t>355722597271717</t>
        </is>
      </c>
      <c r="J148" s="18" t="inlineStr">
        <is>
          <t>355722597271725</t>
        </is>
      </c>
      <c r="K148" s="4" t="n">
        <v>2911</v>
      </c>
      <c r="L148" s="4" t="inlineStr">
        <is>
          <t>CEL0168</t>
        </is>
      </c>
    </row>
    <row r="149" hidden="1">
      <c r="A149" s="4" t="inlineStr">
        <is>
          <t>SMARTPHONE MOTO G06</t>
        </is>
      </c>
      <c r="D149" s="4" t="inlineStr">
        <is>
          <t>C02 - BRACELL CBO</t>
        </is>
      </c>
      <c r="F149" s="4" t="inlineStr">
        <is>
          <t>TRA0548</t>
        </is>
      </c>
      <c r="H149" s="4" t="inlineStr">
        <is>
          <t>ZF525MRFBM</t>
        </is>
      </c>
      <c r="I149" s="18" t="inlineStr">
        <is>
          <t>355722597272111</t>
        </is>
      </c>
      <c r="J149" s="18" t="inlineStr">
        <is>
          <t>355722597272129</t>
        </is>
      </c>
      <c r="K149" s="4" t="n">
        <v>2912</v>
      </c>
      <c r="L149" s="4" t="inlineStr">
        <is>
          <t>CEL0169</t>
        </is>
      </c>
    </row>
    <row r="150" hidden="1">
      <c r="A150" s="4" t="inlineStr">
        <is>
          <t>SMARTPHONE MOTO G06</t>
        </is>
      </c>
      <c r="B150" s="4" t="n">
        <v>15997708264</v>
      </c>
      <c r="C150" s="4" t="n">
        <v>41501</v>
      </c>
      <c r="D150" s="4" t="inlineStr">
        <is>
          <t>C03 - BRACELL ITATINGA</t>
        </is>
      </c>
      <c r="F150" s="4" t="inlineStr">
        <is>
          <t>TRA0517</t>
        </is>
      </c>
      <c r="H150" s="4" t="inlineStr">
        <is>
          <t>ZF525MR43R</t>
        </is>
      </c>
      <c r="I150" s="18" t="inlineStr">
        <is>
          <t>355722597273416</t>
        </is>
      </c>
      <c r="J150" s="18" t="inlineStr">
        <is>
          <t>355722597273424</t>
        </is>
      </c>
      <c r="K150" s="4" t="inlineStr">
        <is>
          <t>2913</t>
        </is>
      </c>
      <c r="L150" s="4" t="inlineStr">
        <is>
          <t>CEL0170</t>
        </is>
      </c>
    </row>
    <row r="151" hidden="1">
      <c r="A151" s="4" t="inlineStr">
        <is>
          <t>SMARTPHONE MOTO G06</t>
        </is>
      </c>
      <c r="D151" s="4" t="inlineStr">
        <is>
          <t>C02 - BRACELL CBO</t>
        </is>
      </c>
      <c r="F151" s="4" t="inlineStr">
        <is>
          <t>CMH0350</t>
        </is>
      </c>
      <c r="H151" s="4" t="inlineStr">
        <is>
          <t>ZF525MRDL7</t>
        </is>
      </c>
      <c r="I151" s="18" t="inlineStr">
        <is>
          <t>355722597273499</t>
        </is>
      </c>
      <c r="J151" s="18" t="inlineStr">
        <is>
          <t>355722597273507</t>
        </is>
      </c>
      <c r="K151" s="4" t="n">
        <v>2914</v>
      </c>
      <c r="L151" s="4" t="inlineStr">
        <is>
          <t>CEL0171</t>
        </is>
      </c>
    </row>
    <row r="152" hidden="1">
      <c r="A152" s="4" t="inlineStr">
        <is>
          <t>SMARTPHONE MOTO G06</t>
        </is>
      </c>
      <c r="D152" s="4" t="inlineStr">
        <is>
          <t>C02 - BRACELL CBO</t>
        </is>
      </c>
      <c r="F152" s="4" t="inlineStr">
        <is>
          <t>TCK8I26</t>
        </is>
      </c>
      <c r="H152" s="4" t="inlineStr">
        <is>
          <t>ZF525MRHGW</t>
        </is>
      </c>
      <c r="I152" s="18" t="inlineStr">
        <is>
          <t>355722597274778</t>
        </is>
      </c>
      <c r="J152" s="18" t="inlineStr">
        <is>
          <t>355722597274786</t>
        </is>
      </c>
      <c r="K152" s="4" t="n">
        <v>2915</v>
      </c>
      <c r="L152" s="4" t="inlineStr">
        <is>
          <t>CEL0172</t>
        </is>
      </c>
    </row>
    <row r="153" hidden="1">
      <c r="A153" s="4" t="inlineStr">
        <is>
          <t>SMARTPHONE MOTO G06</t>
        </is>
      </c>
      <c r="D153" s="4" t="inlineStr">
        <is>
          <t>C02 - BRACELL CBO</t>
        </is>
      </c>
      <c r="F153" s="4" t="inlineStr">
        <is>
          <t>TRA0480</t>
        </is>
      </c>
      <c r="H153" s="4" t="inlineStr">
        <is>
          <t>ZF525MR57H</t>
        </is>
      </c>
      <c r="I153" s="18" t="inlineStr">
        <is>
          <t>355722597277995</t>
        </is>
      </c>
      <c r="J153" s="18" t="inlineStr">
        <is>
          <t>355722597278001</t>
        </is>
      </c>
      <c r="K153" s="4" t="n">
        <v>2916</v>
      </c>
      <c r="L153" s="4" t="inlineStr">
        <is>
          <t>CEL0173</t>
        </is>
      </c>
    </row>
    <row r="154" hidden="1">
      <c r="A154" s="4" t="inlineStr">
        <is>
          <t>SMARTPHONE MOTO G06</t>
        </is>
      </c>
      <c r="D154" s="4" t="inlineStr">
        <is>
          <t>C02 - BRACELL CBO</t>
        </is>
      </c>
      <c r="F154" s="4" t="inlineStr">
        <is>
          <t>CMH0456</t>
        </is>
      </c>
      <c r="H154" s="4" t="inlineStr">
        <is>
          <t>ZF525MR4V6</t>
        </is>
      </c>
      <c r="I154" s="18" t="inlineStr">
        <is>
          <t>355722597281054</t>
        </is>
      </c>
      <c r="J154" s="18" t="inlineStr">
        <is>
          <t>355722597281062</t>
        </is>
      </c>
      <c r="K154" s="4" t="n">
        <v>2917</v>
      </c>
      <c r="L154" s="4" t="inlineStr">
        <is>
          <t>CEL0174</t>
        </is>
      </c>
    </row>
    <row r="155" hidden="1">
      <c r="A155" s="4" t="inlineStr">
        <is>
          <t>SMARTPHONE MOTO G06</t>
        </is>
      </c>
      <c r="D155" s="4" t="inlineStr">
        <is>
          <t>C02 - BRACELL CBO</t>
        </is>
      </c>
      <c r="F155" s="4" t="inlineStr">
        <is>
          <t>SXV0D46</t>
        </is>
      </c>
      <c r="H155" s="4" t="inlineStr">
        <is>
          <t>ZF525MRP5W</t>
        </is>
      </c>
      <c r="I155" s="18" t="inlineStr">
        <is>
          <t>355722597285550</t>
        </is>
      </c>
      <c r="J155" s="18" t="inlineStr">
        <is>
          <t>355722597285568</t>
        </is>
      </c>
      <c r="K155" s="4" t="n">
        <v>2918</v>
      </c>
      <c r="L155" s="4" t="inlineStr">
        <is>
          <t>CEL0175</t>
        </is>
      </c>
    </row>
    <row r="156" hidden="1">
      <c r="A156" s="4" t="inlineStr">
        <is>
          <t>SMARTPHONE MOTO G06</t>
        </is>
      </c>
      <c r="D156" s="4" t="inlineStr">
        <is>
          <t>C02 - BRACELL CBO</t>
        </is>
      </c>
      <c r="F156" s="4" t="inlineStr">
        <is>
          <t>SUF3C06</t>
        </is>
      </c>
      <c r="H156" s="4" t="inlineStr">
        <is>
          <t>ZF525MR76B</t>
        </is>
      </c>
      <c r="I156" s="18" t="inlineStr">
        <is>
          <t>355722597300557</t>
        </is>
      </c>
      <c r="J156" s="18" t="inlineStr">
        <is>
          <t>355722597300565</t>
        </is>
      </c>
      <c r="K156" s="4" t="n">
        <v>2919</v>
      </c>
      <c r="L156" s="4" t="inlineStr">
        <is>
          <t>CEL0176</t>
        </is>
      </c>
    </row>
    <row r="157" hidden="1">
      <c r="A157" s="4" t="inlineStr">
        <is>
          <t>SMARTPHONE MOTO G06</t>
        </is>
      </c>
      <c r="D157" s="4" t="inlineStr">
        <is>
          <t>C02 - BRACELL CBO</t>
        </is>
      </c>
      <c r="F157" s="4" t="inlineStr">
        <is>
          <t>TRA0549</t>
        </is>
      </c>
      <c r="H157" s="4" t="inlineStr">
        <is>
          <t>ZF525MRHH5</t>
        </is>
      </c>
      <c r="I157" s="18" t="inlineStr">
        <is>
          <t>355722597304278</t>
        </is>
      </c>
      <c r="J157" s="18" t="inlineStr">
        <is>
          <t>355722597304286</t>
        </is>
      </c>
      <c r="K157" s="4" t="n">
        <v>2920</v>
      </c>
      <c r="L157" s="4" t="inlineStr">
        <is>
          <t>CEL0177</t>
        </is>
      </c>
    </row>
    <row r="158" hidden="1">
      <c r="A158" s="4" t="inlineStr">
        <is>
          <t>SMARTPHONE MOTO G06</t>
        </is>
      </c>
      <c r="D158" s="4" t="inlineStr">
        <is>
          <t>C02 - BRACELL CBO</t>
        </is>
      </c>
      <c r="F158" s="4" t="inlineStr">
        <is>
          <t>CMH0460</t>
        </is>
      </c>
      <c r="H158" s="4" t="inlineStr">
        <is>
          <t>ZF525MQK4X</t>
        </is>
      </c>
      <c r="I158" s="18" t="inlineStr">
        <is>
          <t>355722597309897</t>
        </is>
      </c>
      <c r="J158" s="18" t="inlineStr">
        <is>
          <t>355722597309905</t>
        </is>
      </c>
      <c r="K158" s="4" t="n">
        <v>2921</v>
      </c>
      <c r="L158" s="4" t="inlineStr">
        <is>
          <t>CEL0178</t>
        </is>
      </c>
    </row>
    <row r="159" hidden="1">
      <c r="A159" s="4" t="inlineStr">
        <is>
          <t>SMARTPHONE MOTO G06</t>
        </is>
      </c>
      <c r="B159" s="4" t="n">
        <v>67999377642</v>
      </c>
      <c r="C159" s="4" t="n">
        <v>41501</v>
      </c>
      <c r="D159" s="4" t="inlineStr">
        <is>
          <t>C03 - BRACELL ITATINGA</t>
        </is>
      </c>
      <c r="F159" s="4" t="inlineStr">
        <is>
          <t>TRA0545</t>
        </is>
      </c>
      <c r="H159" s="4" t="inlineStr">
        <is>
          <t>ZF525GG43C</t>
        </is>
      </c>
      <c r="I159" s="18" t="inlineStr">
        <is>
          <t>358686767330693</t>
        </is>
      </c>
      <c r="J159" s="18" t="inlineStr">
        <is>
          <t>358686767330701</t>
        </is>
      </c>
      <c r="K159" s="4" t="n">
        <v>2922</v>
      </c>
      <c r="L159" s="4" t="inlineStr">
        <is>
          <t>CEL0179</t>
        </is>
      </c>
    </row>
    <row r="160" hidden="1">
      <c r="A160" s="4" t="inlineStr">
        <is>
          <t>SMARTPHONE MOTO G06</t>
        </is>
      </c>
      <c r="D160" s="4" t="inlineStr">
        <is>
          <t>C02 - SUZANO SMA</t>
        </is>
      </c>
      <c r="F160" s="4" t="inlineStr">
        <is>
          <t>ODAIR JOSE ANTUNES</t>
        </is>
      </c>
      <c r="H160" s="4" t="inlineStr">
        <is>
          <t>ZF525MRF84</t>
        </is>
      </c>
      <c r="I160" s="18" t="inlineStr">
        <is>
          <t>355722597320571</t>
        </is>
      </c>
      <c r="J160" s="18" t="inlineStr">
        <is>
          <t>355722597320589</t>
        </is>
      </c>
      <c r="K160" s="4" t="n">
        <v>2923</v>
      </c>
    </row>
    <row r="161" hidden="1">
      <c r="A161" s="4" t="inlineStr">
        <is>
          <t>SMARTPHONE MOTO G06</t>
        </is>
      </c>
      <c r="D161" s="4" t="inlineStr">
        <is>
          <t>C02 - SUZANO SMA</t>
        </is>
      </c>
      <c r="F161" s="4" t="inlineStr">
        <is>
          <t>LAURO BATISTA RIBEIRO</t>
        </is>
      </c>
      <c r="H161" s="4" t="inlineStr">
        <is>
          <t>ZF525MRB6W</t>
        </is>
      </c>
      <c r="I161" s="18" t="inlineStr">
        <is>
          <t>355722597246099</t>
        </is>
      </c>
      <c r="J161" s="18" t="inlineStr">
        <is>
          <t>355722597246107</t>
        </is>
      </c>
      <c r="K161" s="4" t="inlineStr">
        <is>
          <t>2924</t>
        </is>
      </c>
    </row>
    <row r="162" hidden="1">
      <c r="A162" s="4" t="inlineStr">
        <is>
          <t>SMARTPHONE MOTO G06</t>
        </is>
      </c>
      <c r="D162" s="4" t="inlineStr">
        <is>
          <t>C02 - SUZANO SMA</t>
        </is>
      </c>
      <c r="F162" s="4" t="inlineStr">
        <is>
          <t>JEFFERSON FERREIRA BECKER</t>
        </is>
      </c>
      <c r="H162" s="4" t="inlineStr">
        <is>
          <t>ZF525MRHRC</t>
        </is>
      </c>
      <c r="I162" s="18" t="inlineStr">
        <is>
          <t>355722597279058</t>
        </is>
      </c>
      <c r="J162" s="18" t="inlineStr">
        <is>
          <t>355722597279066</t>
        </is>
      </c>
      <c r="K162" s="4" t="n">
        <v>2925</v>
      </c>
    </row>
    <row r="163" hidden="1">
      <c r="A163" s="4" t="inlineStr">
        <is>
          <t>SMARTPHONE MOTO G06</t>
        </is>
      </c>
      <c r="D163" s="4" t="inlineStr">
        <is>
          <t>C03 - BRACELL ITATINGA</t>
        </is>
      </c>
      <c r="F163" s="4" t="inlineStr">
        <is>
          <t>ADRIAN EDUARDO DA SILVA</t>
        </is>
      </c>
      <c r="H163" s="4" t="inlineStr">
        <is>
          <t>ZF525MRBBZ</t>
        </is>
      </c>
      <c r="I163" s="18" t="inlineStr">
        <is>
          <t>355722597287051</t>
        </is>
      </c>
      <c r="J163" s="18" t="inlineStr">
        <is>
          <t>355722597287069</t>
        </is>
      </c>
      <c r="K163" s="4" t="n">
        <v>2937</v>
      </c>
      <c r="L163" s="4" t="inlineStr">
        <is>
          <t>CEL0155</t>
        </is>
      </c>
    </row>
    <row r="164" hidden="1">
      <c r="A164" s="4" t="inlineStr">
        <is>
          <t>SMARTPHONE MOTO G06</t>
        </is>
      </c>
      <c r="D164" s="4" t="inlineStr">
        <is>
          <t>C03 - BRACELL ITATINGA</t>
        </is>
      </c>
      <c r="F164" s="4" t="inlineStr">
        <is>
          <t>RTZ7C28</t>
        </is>
      </c>
      <c r="H164" s="4" t="inlineStr">
        <is>
          <t>ZF525MRF3W</t>
        </is>
      </c>
      <c r="I164" s="18" t="inlineStr">
        <is>
          <t>355722597262112</t>
        </is>
      </c>
      <c r="J164" s="18" t="inlineStr">
        <is>
          <t>355722597262120</t>
        </is>
      </c>
      <c r="K164" s="4" t="inlineStr">
        <is>
          <t>2938</t>
        </is>
      </c>
      <c r="L164" s="4" t="inlineStr">
        <is>
          <t>CEL0133</t>
        </is>
      </c>
    </row>
    <row r="165" hidden="1">
      <c r="A165" s="4" t="inlineStr">
        <is>
          <t>SMARTPHONE MOTO G06</t>
        </is>
      </c>
      <c r="D165" s="4" t="inlineStr">
        <is>
          <t>C03 - BRACELL ITATINGA</t>
        </is>
      </c>
      <c r="F165" s="4" t="inlineStr">
        <is>
          <t>TRA0380</t>
        </is>
      </c>
      <c r="H165" s="4" t="inlineStr">
        <is>
          <t>ZF525MRH32</t>
        </is>
      </c>
      <c r="I165" s="18" t="inlineStr">
        <is>
          <t>355722597270271</t>
        </is>
      </c>
      <c r="J165" s="18" t="inlineStr">
        <is>
          <t>355722597270289</t>
        </is>
      </c>
      <c r="K165" s="4" t="inlineStr">
        <is>
          <t>2939</t>
        </is>
      </c>
      <c r="L165" s="4" t="inlineStr">
        <is>
          <t>CEL0134</t>
        </is>
      </c>
    </row>
    <row r="166" hidden="1">
      <c r="A166" s="4" t="inlineStr">
        <is>
          <t>SMARTPHONE MOTO G06</t>
        </is>
      </c>
      <c r="D166" s="4" t="inlineStr">
        <is>
          <t>C03 - BRACELL ITATINGA</t>
        </is>
      </c>
      <c r="F166" s="4" t="inlineStr">
        <is>
          <t>TRA0390</t>
        </is>
      </c>
      <c r="H166" s="4" t="inlineStr">
        <is>
          <t>ZF525MR74K</t>
        </is>
      </c>
      <c r="I166" s="18" t="inlineStr">
        <is>
          <t>355722597276732</t>
        </is>
      </c>
      <c r="J166" s="18" t="inlineStr">
        <is>
          <t>355722597276740</t>
        </is>
      </c>
      <c r="K166" s="4" t="n">
        <v>2940</v>
      </c>
      <c r="L166" s="4" t="inlineStr">
        <is>
          <t>CEL0135</t>
        </is>
      </c>
    </row>
    <row r="167" hidden="1">
      <c r="A167" s="4" t="inlineStr">
        <is>
          <t>SMARTPHONE MOTO G06</t>
        </is>
      </c>
      <c r="D167" s="4" t="inlineStr">
        <is>
          <t>C03 - EUCATEX ITATINGA</t>
        </is>
      </c>
      <c r="F167" s="4" t="inlineStr">
        <is>
          <t>GUILHERME HENRIQUE DO NASCIMENTO</t>
        </is>
      </c>
      <c r="H167" s="4" t="inlineStr">
        <is>
          <t>ZF525MRHLS</t>
        </is>
      </c>
      <c r="I167" s="18" t="inlineStr">
        <is>
          <t>355722597278191</t>
        </is>
      </c>
      <c r="J167" s="18" t="inlineStr">
        <is>
          <t>355722597278209</t>
        </is>
      </c>
      <c r="K167" s="4" t="n">
        <v>2941</v>
      </c>
      <c r="L167" s="4" t="inlineStr">
        <is>
          <t>CEL0136</t>
        </is>
      </c>
    </row>
    <row r="168" hidden="1">
      <c r="A168" s="4" t="inlineStr">
        <is>
          <t>SMARTPHONE MOTO G06</t>
        </is>
      </c>
      <c r="D168" s="4" t="inlineStr">
        <is>
          <t>C03 - BRACELL ITATINGA</t>
        </is>
      </c>
      <c r="F168" s="4" t="inlineStr">
        <is>
          <t>TRA0449</t>
        </is>
      </c>
      <c r="H168" s="4" t="inlineStr">
        <is>
          <t>ZF525MR55J</t>
        </is>
      </c>
      <c r="I168" s="18" t="inlineStr">
        <is>
          <t>355722597279033</t>
        </is>
      </c>
      <c r="J168" s="18" t="inlineStr">
        <is>
          <t>355722597279041</t>
        </is>
      </c>
      <c r="K168" s="4" t="n">
        <v>2942</v>
      </c>
      <c r="L168" s="4" t="inlineStr">
        <is>
          <t>CEL0137</t>
        </is>
      </c>
    </row>
    <row r="169" hidden="1">
      <c r="A169" s="4" t="inlineStr">
        <is>
          <t>SMARTPHONE MOTO G06</t>
        </is>
      </c>
      <c r="D169" s="4" t="inlineStr">
        <is>
          <t>C03 - BRACELL ITATINGA</t>
        </is>
      </c>
      <c r="F169" s="4" t="inlineStr">
        <is>
          <t>TRA0453</t>
        </is>
      </c>
      <c r="H169" s="4" t="inlineStr">
        <is>
          <t>ZF525MRKX6</t>
        </is>
      </c>
      <c r="I169" s="18" t="inlineStr">
        <is>
          <t>355722597302512</t>
        </is>
      </c>
      <c r="J169" s="18" t="inlineStr">
        <is>
          <t>355722597302520</t>
        </is>
      </c>
      <c r="K169" s="4" t="inlineStr">
        <is>
          <t>2943</t>
        </is>
      </c>
      <c r="L169" s="4" t="inlineStr">
        <is>
          <t>CEL0138</t>
        </is>
      </c>
    </row>
    <row r="170" hidden="1" customFormat="1" s="39">
      <c r="A170" s="39" t="inlineStr">
        <is>
          <t>SMARTPHONE MOTO G06</t>
        </is>
      </c>
      <c r="C170" s="39" t="n">
        <v>41501</v>
      </c>
      <c r="D170" s="39" t="inlineStr">
        <is>
          <t>C03 - BRACELL ITATINGA</t>
        </is>
      </c>
      <c r="F170" s="39" t="inlineStr">
        <is>
          <t>TRA0517</t>
        </is>
      </c>
      <c r="H170" s="39" t="inlineStr">
        <is>
          <t>ZF525MRRHK</t>
        </is>
      </c>
      <c r="I170" s="42" t="inlineStr">
        <is>
          <t>355722597310796</t>
        </is>
      </c>
      <c r="J170" s="42" t="inlineStr">
        <is>
          <t>355722597310804</t>
        </is>
      </c>
      <c r="K170" s="39" t="n">
        <v>2944</v>
      </c>
      <c r="L170" s="39" t="inlineStr">
        <is>
          <t>CEL0139</t>
        </is>
      </c>
    </row>
    <row r="171" hidden="1">
      <c r="A171" s="4" t="inlineStr">
        <is>
          <t>SMARTPHONE MOTO G06</t>
        </is>
      </c>
      <c r="D171" s="4" t="inlineStr">
        <is>
          <t>C03 - BRACELL ITATINGA</t>
        </is>
      </c>
      <c r="F171" s="4" t="inlineStr">
        <is>
          <t>TRA0519</t>
        </is>
      </c>
      <c r="H171" s="4" t="inlineStr">
        <is>
          <t>ZF525MQPM5</t>
        </is>
      </c>
      <c r="I171" s="18" t="inlineStr">
        <is>
          <t>355722597315696</t>
        </is>
      </c>
      <c r="J171" s="18" t="inlineStr">
        <is>
          <t>355722597315704</t>
        </is>
      </c>
      <c r="K171" s="4" t="inlineStr">
        <is>
          <t>2945</t>
        </is>
      </c>
      <c r="L171" s="4" t="inlineStr">
        <is>
          <t>CEL0140</t>
        </is>
      </c>
    </row>
    <row r="172" hidden="1">
      <c r="A172" s="4" t="inlineStr">
        <is>
          <t>SMARTPHONE MOTO G06</t>
        </is>
      </c>
      <c r="D172" s="4" t="inlineStr">
        <is>
          <t>C03 - BRACELL ITATINGA</t>
        </is>
      </c>
      <c r="F172" s="4" t="inlineStr">
        <is>
          <t>TRA0524</t>
        </is>
      </c>
      <c r="H172" s="4" t="inlineStr">
        <is>
          <t>ZF525MRB3J</t>
        </is>
      </c>
      <c r="I172" s="18" t="inlineStr">
        <is>
          <t>355722597319714</t>
        </is>
      </c>
      <c r="J172" s="18" t="inlineStr">
        <is>
          <t>355722597319722</t>
        </is>
      </c>
      <c r="K172" s="4" t="inlineStr">
        <is>
          <t>2946</t>
        </is>
      </c>
      <c r="L172" s="4" t="inlineStr">
        <is>
          <t>CEL0141</t>
        </is>
      </c>
    </row>
    <row r="173" hidden="1">
      <c r="A173" s="4" t="inlineStr">
        <is>
          <t>SMARTPHONE MOTO G06</t>
        </is>
      </c>
      <c r="D173" s="4" t="inlineStr">
        <is>
          <t>C03 - BRACELL ITATINGA</t>
        </is>
      </c>
      <c r="F173" s="4" t="inlineStr">
        <is>
          <t>TRA0538</t>
        </is>
      </c>
      <c r="H173" s="4" t="inlineStr">
        <is>
          <t>ZF525MR9KD</t>
        </is>
      </c>
      <c r="I173" s="18" t="inlineStr">
        <is>
          <t>355722597322098</t>
        </is>
      </c>
      <c r="J173" s="18" t="inlineStr">
        <is>
          <t>355722597322106</t>
        </is>
      </c>
      <c r="K173" s="4" t="inlineStr">
        <is>
          <t>2947</t>
        </is>
      </c>
      <c r="L173" s="4" t="inlineStr">
        <is>
          <t>CEL0142</t>
        </is>
      </c>
    </row>
    <row r="174" hidden="1">
      <c r="A174" s="4" t="inlineStr">
        <is>
          <t>SMARTPHONE MOTO G06</t>
        </is>
      </c>
      <c r="D174" s="4" t="inlineStr">
        <is>
          <t>C03 - BRACELL ITATINGA</t>
        </is>
      </c>
      <c r="F174" s="4" t="inlineStr">
        <is>
          <t>TRA0539</t>
        </is>
      </c>
      <c r="H174" s="4" t="inlineStr">
        <is>
          <t>ZF525MQKKJ</t>
        </is>
      </c>
      <c r="I174" s="18" t="inlineStr">
        <is>
          <t>355722597308394</t>
        </is>
      </c>
      <c r="J174" s="18" t="inlineStr">
        <is>
          <t>355722597308402</t>
        </is>
      </c>
      <c r="K174" s="4" t="inlineStr">
        <is>
          <t>2948</t>
        </is>
      </c>
      <c r="L174" s="4" t="inlineStr">
        <is>
          <t>CEL0143</t>
        </is>
      </c>
    </row>
    <row r="175" hidden="1">
      <c r="A175" s="4" t="inlineStr">
        <is>
          <t>SMARTPHONE MOTO G06</t>
        </is>
      </c>
      <c r="D175" s="4" t="inlineStr">
        <is>
          <t>C03 - BRACELL ITATINGA</t>
        </is>
      </c>
      <c r="F175" s="4" t="inlineStr">
        <is>
          <t>TRA0540</t>
        </is>
      </c>
      <c r="H175" s="4" t="inlineStr">
        <is>
          <t>ZF525MRHMS</t>
        </is>
      </c>
      <c r="I175" s="18" t="inlineStr">
        <is>
          <t>355722597277615</t>
        </is>
      </c>
      <c r="J175" s="18" t="inlineStr">
        <is>
          <t>355722597277623</t>
        </is>
      </c>
      <c r="K175" s="4" t="n">
        <v>2949</v>
      </c>
      <c r="L175" s="4" t="inlineStr">
        <is>
          <t>CEL0144</t>
        </is>
      </c>
    </row>
    <row r="176" hidden="1">
      <c r="A176" s="4" t="inlineStr">
        <is>
          <t>SMARTPHONE MOTO G06</t>
        </is>
      </c>
      <c r="D176" s="4" t="inlineStr">
        <is>
          <t>C03 - BRACELL ITATINGA</t>
        </is>
      </c>
      <c r="F176" s="4" t="inlineStr">
        <is>
          <t>TRA0541</t>
        </is>
      </c>
      <c r="H176" s="4" t="inlineStr">
        <is>
          <t>ZF525MQS4P</t>
        </is>
      </c>
      <c r="I176" s="18" t="inlineStr">
        <is>
          <t>355722597333053</t>
        </is>
      </c>
      <c r="J176" s="18" t="inlineStr">
        <is>
          <t>355722597333061</t>
        </is>
      </c>
      <c r="K176" s="4" t="inlineStr">
        <is>
          <t>2950</t>
        </is>
      </c>
      <c r="L176" s="4" t="inlineStr">
        <is>
          <t>CEL0145</t>
        </is>
      </c>
    </row>
    <row r="177" hidden="1" customFormat="1" s="39">
      <c r="A177" s="39" t="inlineStr">
        <is>
          <t>SMARTPHONE MOTO G06</t>
        </is>
      </c>
      <c r="D177" s="39" t="inlineStr">
        <is>
          <t>C03 - BRACELL ITATINGA</t>
        </is>
      </c>
      <c r="F177" s="39" t="inlineStr">
        <is>
          <t>TRA0545</t>
        </is>
      </c>
      <c r="H177" s="39" t="inlineStr">
        <is>
          <t>ZF525MRJTB</t>
        </is>
      </c>
      <c r="I177" s="42" t="inlineStr">
        <is>
          <t>355722597263730</t>
        </is>
      </c>
      <c r="J177" s="42" t="inlineStr">
        <is>
          <t>355722597263748</t>
        </is>
      </c>
      <c r="K177" s="39" t="n">
        <v>2951</v>
      </c>
      <c r="L177" s="39" t="inlineStr">
        <is>
          <t>CEL0146</t>
        </is>
      </c>
    </row>
    <row r="178" hidden="1">
      <c r="A178" s="4" t="inlineStr">
        <is>
          <t>SMARTPHONE MOTO G06</t>
        </is>
      </c>
      <c r="D178" s="4" t="inlineStr">
        <is>
          <t>C03 - BRACELL ITATINGA</t>
        </is>
      </c>
      <c r="F178" s="4" t="inlineStr">
        <is>
          <t>TRA0569</t>
        </is>
      </c>
      <c r="H178" s="4" t="inlineStr">
        <is>
          <t>ZF525MRG84</t>
        </is>
      </c>
      <c r="I178" s="18" t="inlineStr">
        <is>
          <t>355722597275932</t>
        </is>
      </c>
      <c r="J178" s="18" t="inlineStr">
        <is>
          <t>355722597275940</t>
        </is>
      </c>
      <c r="K178" s="4" t="inlineStr">
        <is>
          <t>2952</t>
        </is>
      </c>
      <c r="L178" s="4" t="inlineStr">
        <is>
          <t>CEL0147</t>
        </is>
      </c>
    </row>
    <row r="179" hidden="1">
      <c r="A179" s="4" t="inlineStr">
        <is>
          <t>SMARTPHONE MOTO G06</t>
        </is>
      </c>
      <c r="D179" s="4" t="inlineStr">
        <is>
          <t>C03 - BRACELL ITATINGA</t>
        </is>
      </c>
      <c r="F179" s="4" t="inlineStr">
        <is>
          <t>TRA0573</t>
        </is>
      </c>
      <c r="H179" s="4" t="inlineStr">
        <is>
          <t>ZF525MRF2V</t>
        </is>
      </c>
      <c r="I179" s="18" t="inlineStr">
        <is>
          <t>355722597269935</t>
        </is>
      </c>
      <c r="J179" s="18" t="inlineStr">
        <is>
          <t>355722597269943</t>
        </is>
      </c>
      <c r="K179" s="4" t="n">
        <v>2953</v>
      </c>
      <c r="L179" s="4" t="inlineStr">
        <is>
          <t>CEL0148</t>
        </is>
      </c>
    </row>
    <row r="180" hidden="1">
      <c r="A180" s="4" t="inlineStr">
        <is>
          <t>SMARTPHONE MOTO G06</t>
        </is>
      </c>
      <c r="D180" s="4" t="inlineStr">
        <is>
          <t>C03 - BRACELL ITATINGA</t>
        </is>
      </c>
      <c r="F180" s="4" t="inlineStr">
        <is>
          <t>SFL8G78</t>
        </is>
      </c>
      <c r="H180" s="4" t="inlineStr">
        <is>
          <t>ZF525MRKVJ</t>
        </is>
      </c>
      <c r="I180" s="18" t="inlineStr">
        <is>
          <t>355722597302579</t>
        </is>
      </c>
      <c r="J180" s="18" t="inlineStr">
        <is>
          <t>355722597302587</t>
        </is>
      </c>
      <c r="K180" s="4" t="inlineStr">
        <is>
          <t>2954</t>
        </is>
      </c>
      <c r="L180" s="4" t="inlineStr">
        <is>
          <t>CEL0149</t>
        </is>
      </c>
    </row>
    <row r="181" hidden="1">
      <c r="A181" s="4" t="inlineStr">
        <is>
          <t>SMARTPHONE MOTO G06</t>
        </is>
      </c>
      <c r="D181" s="4" t="inlineStr">
        <is>
          <t>C03 - BRACELL ITATINGA</t>
        </is>
      </c>
      <c r="F181" s="4" t="inlineStr">
        <is>
          <t>GAJ3F50</t>
        </is>
      </c>
      <c r="H181" s="4" t="inlineStr">
        <is>
          <t>ZF525MRHSQ</t>
        </is>
      </c>
      <c r="I181" s="18" t="inlineStr">
        <is>
          <t>355722597297134</t>
        </is>
      </c>
      <c r="J181" s="18" t="inlineStr">
        <is>
          <t>355722597297142</t>
        </is>
      </c>
      <c r="K181" s="4" t="inlineStr">
        <is>
          <t>2955</t>
        </is>
      </c>
      <c r="L181" s="4" t="inlineStr">
        <is>
          <t>CEL0150</t>
        </is>
      </c>
    </row>
    <row r="182" hidden="1">
      <c r="A182" s="4" t="inlineStr">
        <is>
          <t>SMARTPHONE MOTO G06</t>
        </is>
      </c>
      <c r="D182" s="4" t="inlineStr">
        <is>
          <t>C03 - BRACELL ITATINGA</t>
        </is>
      </c>
      <c r="F182" s="4" t="inlineStr">
        <is>
          <t>RTZ7C27</t>
        </is>
      </c>
      <c r="H182" s="4" t="inlineStr">
        <is>
          <t>ZF525MQ7NL</t>
        </is>
      </c>
      <c r="I182" s="18" t="inlineStr">
        <is>
          <t>355722597101393</t>
        </is>
      </c>
      <c r="J182" s="18" t="inlineStr">
        <is>
          <t>355722597101401</t>
        </is>
      </c>
      <c r="K182" s="4" t="inlineStr">
        <is>
          <t>2956</t>
        </is>
      </c>
      <c r="L182" s="4" t="inlineStr">
        <is>
          <t>CEL0151</t>
        </is>
      </c>
    </row>
    <row r="183" hidden="1">
      <c r="A183" s="4" t="inlineStr">
        <is>
          <t>SMARTPHONE MOTO G06</t>
        </is>
      </c>
      <c r="D183" s="4" t="inlineStr">
        <is>
          <t>C03 - BRACELL ITATINGA</t>
        </is>
      </c>
      <c r="F183" s="4" t="inlineStr">
        <is>
          <t>RHF4B55</t>
        </is>
      </c>
      <c r="H183" s="4" t="inlineStr">
        <is>
          <t>ZF525MRFPS</t>
        </is>
      </c>
      <c r="I183" s="18" t="inlineStr">
        <is>
          <t>355722597296714</t>
        </is>
      </c>
      <c r="J183" s="18" t="inlineStr">
        <is>
          <t>355722597296722</t>
        </is>
      </c>
      <c r="K183" s="4" t="n">
        <v>2957</v>
      </c>
      <c r="L183" s="4" t="inlineStr">
        <is>
          <t>CEL0152</t>
        </is>
      </c>
    </row>
    <row r="184" hidden="1">
      <c r="A184" s="4" t="inlineStr">
        <is>
          <t>SMARTPHONE MOTO G06</t>
        </is>
      </c>
      <c r="D184" s="4" t="inlineStr">
        <is>
          <t>C03 - BRACELL ITATINGA</t>
        </is>
      </c>
      <c r="F184" s="4" t="inlineStr">
        <is>
          <t>RVX2B24</t>
        </is>
      </c>
      <c r="H184" s="4" t="inlineStr">
        <is>
          <t>ZF525MQPJM</t>
        </is>
      </c>
      <c r="I184" s="18" t="inlineStr">
        <is>
          <t>355722597335876</t>
        </is>
      </c>
      <c r="J184" s="18" t="inlineStr">
        <is>
          <t>355722597335884</t>
        </is>
      </c>
      <c r="K184" s="4" t="n">
        <v>2958</v>
      </c>
      <c r="L184" s="4" t="inlineStr">
        <is>
          <t>CEL0153</t>
        </is>
      </c>
    </row>
    <row r="185" hidden="1">
      <c r="A185" s="4" t="inlineStr">
        <is>
          <t>SMARTPHONE MOTO G06</t>
        </is>
      </c>
      <c r="D185" s="4" t="inlineStr">
        <is>
          <t>C03 - BRACELL ITATINGA</t>
        </is>
      </c>
      <c r="F185" s="4" t="inlineStr">
        <is>
          <t>TLG7I14</t>
        </is>
      </c>
      <c r="H185" s="4" t="inlineStr">
        <is>
          <t>ZF525MRDVZ</t>
        </is>
      </c>
      <c r="I185" s="18" t="inlineStr">
        <is>
          <t>355722597297472</t>
        </is>
      </c>
      <c r="J185" s="18" t="inlineStr">
        <is>
          <t>355722597297480</t>
        </is>
      </c>
      <c r="K185" s="4" t="inlineStr">
        <is>
          <t>2959</t>
        </is>
      </c>
      <c r="L185" s="4" t="inlineStr">
        <is>
          <t>CEL0154</t>
        </is>
      </c>
    </row>
    <row r="186" hidden="1">
      <c r="A186" s="4" t="inlineStr">
        <is>
          <t>SMARTPHONE MOTO G06</t>
        </is>
      </c>
      <c r="D186" s="4" t="inlineStr">
        <is>
          <t>C03 - EUCATEX ITATINGA</t>
        </is>
      </c>
      <c r="F186" s="4" t="inlineStr">
        <is>
          <t xml:space="preserve">SERGIO NASCIMENTO SILVA </t>
        </is>
      </c>
      <c r="H186" s="4" t="inlineStr">
        <is>
          <t>ZF525MRJ4G</t>
        </is>
      </c>
      <c r="I186" s="18" t="inlineStr">
        <is>
          <t>355722597302439</t>
        </is>
      </c>
      <c r="J186" s="18" t="inlineStr">
        <is>
          <t>355722597302447</t>
        </is>
      </c>
      <c r="K186" s="4" t="n">
        <v>2926</v>
      </c>
      <c r="L186" s="4" t="inlineStr">
        <is>
          <t>CEL0156</t>
        </is>
      </c>
    </row>
    <row r="187" hidden="1">
      <c r="A187" s="4" t="inlineStr">
        <is>
          <t>SMARTPHONE MOTO G06</t>
        </is>
      </c>
      <c r="D187" s="4" t="inlineStr">
        <is>
          <t>C03 - EUCATEX ITATINGA</t>
        </is>
      </c>
      <c r="F187" s="4" t="inlineStr">
        <is>
          <t xml:space="preserve">LEONARDO FELIPE SARAIVA DE MELO </t>
        </is>
      </c>
      <c r="H187" s="4" t="inlineStr">
        <is>
          <t>ZF525MRKX7</t>
        </is>
      </c>
      <c r="I187" s="18" t="inlineStr">
        <is>
          <t>355722597303510</t>
        </is>
      </c>
      <c r="J187" s="18" t="inlineStr">
        <is>
          <t>355722597303528</t>
        </is>
      </c>
      <c r="K187" s="4" t="n">
        <v>2927</v>
      </c>
      <c r="L187" s="4" t="inlineStr">
        <is>
          <t>CEL0157</t>
        </is>
      </c>
    </row>
    <row r="188" hidden="1">
      <c r="A188" s="4" t="inlineStr">
        <is>
          <t>SMARTPHONE MOTO G06</t>
        </is>
      </c>
      <c r="D188" s="4" t="inlineStr">
        <is>
          <t>C03 - EUCATEX ITATINGA</t>
        </is>
      </c>
      <c r="F188" s="4" t="inlineStr">
        <is>
          <t>CLEITON ALVES DA SILVA</t>
        </is>
      </c>
      <c r="H188" s="4" t="inlineStr">
        <is>
          <t>ZF525MRSL3</t>
        </is>
      </c>
      <c r="I188" s="18" t="inlineStr">
        <is>
          <t>355722597312974</t>
        </is>
      </c>
      <c r="J188" s="18" t="inlineStr">
        <is>
          <t>355722597312982</t>
        </is>
      </c>
      <c r="K188" s="4" t="inlineStr">
        <is>
          <t>2928</t>
        </is>
      </c>
      <c r="L188" s="4" t="inlineStr">
        <is>
          <t>CEL0158</t>
        </is>
      </c>
    </row>
    <row r="189" hidden="1">
      <c r="A189" s="4" t="inlineStr">
        <is>
          <t>SMARTPHONE MOTO G06</t>
        </is>
      </c>
      <c r="D189" s="4" t="inlineStr">
        <is>
          <t>C03 - EUCATEX ITATINGA</t>
        </is>
      </c>
      <c r="F189" s="4" t="inlineStr">
        <is>
          <t xml:space="preserve">CLAUDEMIR DE PAULA </t>
        </is>
      </c>
      <c r="H189" s="4" t="inlineStr">
        <is>
          <t>ZF525MRDFL</t>
        </is>
      </c>
      <c r="I189" s="18" t="inlineStr">
        <is>
          <t>355722597318971</t>
        </is>
      </c>
      <c r="J189" s="18" t="inlineStr">
        <is>
          <t>355722597318989</t>
        </is>
      </c>
      <c r="K189" s="4" t="n">
        <v>2929</v>
      </c>
      <c r="L189" s="4" t="inlineStr">
        <is>
          <t>CEL0159</t>
        </is>
      </c>
    </row>
    <row r="190" hidden="1">
      <c r="A190" s="4" t="inlineStr">
        <is>
          <t>SMARTPHONE MOTO G06</t>
        </is>
      </c>
      <c r="D190" s="4" t="inlineStr">
        <is>
          <t>C03 - EUCATEX ITATINGA</t>
        </is>
      </c>
      <c r="F190" s="4" t="inlineStr">
        <is>
          <t>MARCOS PAULO DE FREITAS GOMES</t>
        </is>
      </c>
      <c r="H190" s="4" t="inlineStr">
        <is>
          <t>ZF525MR6Q4</t>
        </is>
      </c>
      <c r="I190" s="18" t="inlineStr">
        <is>
          <t>355722597322353</t>
        </is>
      </c>
      <c r="J190" s="18" t="inlineStr">
        <is>
          <t>355722597322361</t>
        </is>
      </c>
      <c r="K190" s="4" t="inlineStr">
        <is>
          <t>2930</t>
        </is>
      </c>
      <c r="L190" s="4" t="inlineStr">
        <is>
          <t>CEL0160</t>
        </is>
      </c>
    </row>
    <row r="191" hidden="1">
      <c r="A191" s="4" t="inlineStr">
        <is>
          <t>SMARTPHONE MOTO G06</t>
        </is>
      </c>
      <c r="D191" s="4" t="inlineStr">
        <is>
          <t>C03 - EUCATEX ITATINGA</t>
        </is>
      </c>
      <c r="F191" s="4" t="inlineStr">
        <is>
          <t>LUIS ANTONIO CASTILLO PACHECO</t>
        </is>
      </c>
      <c r="H191" s="4" t="inlineStr">
        <is>
          <t>ZF525MR6GN</t>
        </is>
      </c>
      <c r="I191" s="18" t="inlineStr">
        <is>
          <t>355722597322676</t>
        </is>
      </c>
      <c r="J191" s="18" t="inlineStr">
        <is>
          <t>355722597322684</t>
        </is>
      </c>
      <c r="K191" s="4" t="n">
        <v>2931</v>
      </c>
      <c r="L191" s="4" t="inlineStr">
        <is>
          <t>CEL0161</t>
        </is>
      </c>
    </row>
    <row r="192" hidden="1">
      <c r="A192" s="4" t="inlineStr">
        <is>
          <t>SMARTPHONE MOTO G06</t>
        </is>
      </c>
      <c r="D192" s="4" t="inlineStr">
        <is>
          <t>C04 - SUZANO CACAPAVA</t>
        </is>
      </c>
      <c r="F192" s="4" t="inlineStr">
        <is>
          <t>JOSE BONIFACIO DE BARROS FILHO</t>
        </is>
      </c>
      <c r="H192" s="4" t="inlineStr">
        <is>
          <t>ZF525MRC46</t>
        </is>
      </c>
      <c r="I192" s="18" t="inlineStr">
        <is>
          <t>355722597271014</t>
        </is>
      </c>
      <c r="J192" s="18" t="inlineStr">
        <is>
          <t>355722597271022</t>
        </is>
      </c>
      <c r="K192" s="4" t="inlineStr">
        <is>
          <t>2932</t>
        </is>
      </c>
    </row>
    <row r="193" hidden="1">
      <c r="A193" s="4" t="inlineStr">
        <is>
          <t>SMARTPHONE MOTO G06</t>
        </is>
      </c>
      <c r="D193" s="4" t="inlineStr">
        <is>
          <t>C04 - SUZANO CACAPAVA</t>
        </is>
      </c>
      <c r="F193" s="4" t="inlineStr">
        <is>
          <t>CLAUDIO TADEU DA SILVA</t>
        </is>
      </c>
      <c r="H193" s="4" t="inlineStr">
        <is>
          <t>ZF525MRFJX</t>
        </is>
      </c>
      <c r="I193" s="18" t="inlineStr">
        <is>
          <t>355722597271436</t>
        </is>
      </c>
      <c r="J193" s="18" t="inlineStr">
        <is>
          <t>355722597271444</t>
        </is>
      </c>
      <c r="K193" s="4" t="inlineStr">
        <is>
          <t>2933</t>
        </is>
      </c>
    </row>
    <row r="194" hidden="1">
      <c r="A194" s="4" t="inlineStr">
        <is>
          <t>SMARTPHONE MOTO G06</t>
        </is>
      </c>
      <c r="D194" s="4" t="inlineStr">
        <is>
          <t>C04 - SUZANO CACAPAVA</t>
        </is>
      </c>
      <c r="F194" s="4" t="inlineStr">
        <is>
          <t>MARCOS VINICIUS DE LIMA DOMINGOS</t>
        </is>
      </c>
      <c r="H194" s="4" t="inlineStr">
        <is>
          <t>ZF525MRDC3</t>
        </is>
      </c>
      <c r="I194" s="18" t="inlineStr">
        <is>
          <t>355722597300078</t>
        </is>
      </c>
      <c r="J194" s="18" t="inlineStr">
        <is>
          <t>355722597300086</t>
        </is>
      </c>
      <c r="K194" s="4" t="inlineStr">
        <is>
          <t>2934</t>
        </is>
      </c>
    </row>
    <row r="195" hidden="1">
      <c r="A195" s="4" t="inlineStr">
        <is>
          <t>SMARTPHONE MOTO G06</t>
        </is>
      </c>
      <c r="D195" s="4" t="inlineStr">
        <is>
          <t>C04 - SUZANO CACAPAVA</t>
        </is>
      </c>
      <c r="F195" s="4" t="inlineStr">
        <is>
          <t>JOAO PAULO DA COSTA</t>
        </is>
      </c>
      <c r="H195" s="4" t="inlineStr">
        <is>
          <t>ZF525MRD8R</t>
        </is>
      </c>
      <c r="I195" s="18" t="inlineStr">
        <is>
          <t>355722597278431</t>
        </is>
      </c>
      <c r="J195" s="18" t="inlineStr">
        <is>
          <t>355722597278449</t>
        </is>
      </c>
      <c r="K195" s="4" t="n">
        <v>2935</v>
      </c>
    </row>
    <row r="196" hidden="1">
      <c r="A196" s="4" t="inlineStr">
        <is>
          <t>SMARTPHONE MOTO G06</t>
        </is>
      </c>
      <c r="D196" s="4" t="inlineStr">
        <is>
          <t>C04 - SUZANO CACAPAVA</t>
        </is>
      </c>
      <c r="F196" s="4" t="inlineStr">
        <is>
          <t>DOMINGO ELOY MATA RATIA</t>
        </is>
      </c>
      <c r="H196" s="4" t="inlineStr">
        <is>
          <t>ZF525MRKS7</t>
        </is>
      </c>
      <c r="I196" s="18" t="inlineStr">
        <is>
          <t>355722597306596</t>
        </is>
      </c>
      <c r="J196" s="18" t="inlineStr">
        <is>
          <t>355722597306604</t>
        </is>
      </c>
      <c r="K196" s="4" t="inlineStr">
        <is>
          <t>2936</t>
        </is>
      </c>
    </row>
    <row r="197" hidden="1">
      <c r="A197" s="43" t="inlineStr">
        <is>
          <t>SMARTPHONE MOTO G06</t>
        </is>
      </c>
      <c r="B197" s="43" t="n">
        <v>15998361119</v>
      </c>
      <c r="C197" s="43" t="n">
        <v>342</v>
      </c>
      <c r="D197" s="43" t="inlineStr">
        <is>
          <t>NOVA MUTUM</t>
        </is>
      </c>
      <c r="E197" s="43" t="n"/>
      <c r="F197" s="43" t="inlineStr">
        <is>
          <t>FUNCIONARIO EM PROCESSO DE CONTRATAÇÃO</t>
        </is>
      </c>
      <c r="G197" s="43" t="inlineStr">
        <is>
          <t>ALTERAR DEPRECIAÇÃO - SAMUEL</t>
        </is>
      </c>
      <c r="H197" s="44" t="inlineStr">
        <is>
          <t>ZF525MRH4M</t>
        </is>
      </c>
      <c r="I197" s="45" t="inlineStr">
        <is>
          <t>355722597306836</t>
        </is>
      </c>
      <c r="J197" s="45" t="inlineStr">
        <is>
          <t>355722597306844</t>
        </is>
      </c>
      <c r="K197" s="44" t="inlineStr">
        <is>
          <t>2907</t>
        </is>
      </c>
      <c r="L197" s="44" t="inlineStr">
        <is>
          <t>CEL0162</t>
        </is>
      </c>
    </row>
    <row r="198" hidden="1">
      <c r="A198" s="43" t="inlineStr">
        <is>
          <t>SMARTPHONE MOTO G06</t>
        </is>
      </c>
      <c r="B198" s="43" t="n">
        <v>15998471357</v>
      </c>
      <c r="C198" s="43" t="n">
        <v>342</v>
      </c>
      <c r="D198" s="43" t="inlineStr">
        <is>
          <t>NOVA MUTUM</t>
        </is>
      </c>
      <c r="E198" s="43" t="n"/>
      <c r="F198" s="43" t="inlineStr">
        <is>
          <t>FUNCIONARIO EM PROCESSO DE CONTRATAÇÃO</t>
        </is>
      </c>
      <c r="G198" s="43" t="inlineStr">
        <is>
          <t>ALTERAR DEPRECIAÇÃO - SAMUEL</t>
        </is>
      </c>
      <c r="H198" s="44" t="inlineStr">
        <is>
          <t>ZF525MQ724</t>
        </is>
      </c>
      <c r="I198" s="45" t="inlineStr">
        <is>
          <t>355722597086511</t>
        </is>
      </c>
      <c r="J198" s="45" t="inlineStr">
        <is>
          <t>355722597086529</t>
        </is>
      </c>
      <c r="K198" s="44" t="n">
        <v>2960</v>
      </c>
      <c r="L198" s="44" t="inlineStr">
        <is>
          <t>CEL0188</t>
        </is>
      </c>
    </row>
    <row r="199" hidden="1">
      <c r="A199" s="43" t="inlineStr">
        <is>
          <t>SMARTPHONE MOTO G06</t>
        </is>
      </c>
      <c r="B199" s="43" t="n">
        <v>15998374765</v>
      </c>
      <c r="C199" s="43" t="n">
        <v>342</v>
      </c>
      <c r="D199" s="43" t="inlineStr">
        <is>
          <t>NOVA MUTUM</t>
        </is>
      </c>
      <c r="E199" s="43" t="n"/>
      <c r="F199" s="43" t="inlineStr">
        <is>
          <t>FUNCIONARIO EM PROCESSO DE CONTRATAÇÃO</t>
        </is>
      </c>
      <c r="G199" s="43" t="inlineStr">
        <is>
          <t>ALTERAR DEPRECIAÇÃO - SAMUEL</t>
        </is>
      </c>
      <c r="H199" s="44" t="inlineStr">
        <is>
          <t>ZF525MR6CP</t>
        </is>
      </c>
      <c r="I199" s="45" t="inlineStr">
        <is>
          <t>355722597296953</t>
        </is>
      </c>
      <c r="J199" s="45" t="inlineStr">
        <is>
          <t>355722597296961</t>
        </is>
      </c>
      <c r="K199" s="44" t="n">
        <v>2961</v>
      </c>
      <c r="L199" s="44" t="inlineStr">
        <is>
          <t>CEL0189</t>
        </is>
      </c>
    </row>
    <row r="200" hidden="1">
      <c r="A200" s="43" t="inlineStr">
        <is>
          <t>SMARTPHONE MOTO G06</t>
        </is>
      </c>
      <c r="B200" s="46" t="n">
        <v>15996465094</v>
      </c>
      <c r="C200" s="46" t="n">
        <v>342</v>
      </c>
      <c r="D200" s="46" t="inlineStr">
        <is>
          <t>NOVA MUTUM</t>
        </is>
      </c>
      <c r="E200" s="46" t="n"/>
      <c r="F200" s="46" t="inlineStr">
        <is>
          <t>FUNCIONARIO EM PROCESSO DE CONTRATAÇÃO</t>
        </is>
      </c>
      <c r="G200" s="46" t="inlineStr">
        <is>
          <t>ALTERAR DEPRECIAÇÃO - SAMUEL</t>
        </is>
      </c>
      <c r="H200" s="47" t="inlineStr">
        <is>
          <t>ZF525MRKQW</t>
        </is>
      </c>
      <c r="I200" s="45" t="inlineStr">
        <is>
          <t>355722597267699</t>
        </is>
      </c>
      <c r="J200" s="45" t="inlineStr">
        <is>
          <t>355722597267707</t>
        </is>
      </c>
      <c r="K200" s="44" t="n">
        <v>2962</v>
      </c>
      <c r="L200" s="44" t="inlineStr">
        <is>
          <t>CEL0190</t>
        </is>
      </c>
    </row>
    <row r="201" hidden="1">
      <c r="A201" s="43" t="inlineStr">
        <is>
          <t>SMARTPHONE MOTO G06</t>
        </is>
      </c>
      <c r="B201" s="43" t="n">
        <v>15997845208</v>
      </c>
      <c r="C201" s="43" t="n">
        <v>342</v>
      </c>
      <c r="D201" s="43" t="inlineStr">
        <is>
          <t>NOVA MUTUM</t>
        </is>
      </c>
      <c r="E201" s="43" t="n"/>
      <c r="F201" s="43" t="inlineStr">
        <is>
          <t>FUNCIONARIO EM PROCESSO DE CONTRATAÇÃO</t>
        </is>
      </c>
      <c r="G201" s="43" t="inlineStr">
        <is>
          <t>ALTERAR DEPRECIAÇÃO - SAMUEL</t>
        </is>
      </c>
      <c r="H201" s="44" t="inlineStr">
        <is>
          <t>ZF525MRFKH</t>
        </is>
      </c>
      <c r="I201" s="45" t="inlineStr">
        <is>
          <t>355722597305192</t>
        </is>
      </c>
      <c r="J201" s="45" t="inlineStr">
        <is>
          <t>355722597305200</t>
        </is>
      </c>
      <c r="K201" s="44" t="inlineStr">
        <is>
          <t>2963</t>
        </is>
      </c>
      <c r="L201" s="44" t="inlineStr">
        <is>
          <t>CEL0191</t>
        </is>
      </c>
    </row>
    <row r="202" hidden="1">
      <c r="A202" s="43" t="inlineStr">
        <is>
          <t>SMARTPHONE MOTO G06</t>
        </is>
      </c>
      <c r="B202" s="43" t="n">
        <v>15997995700</v>
      </c>
      <c r="C202" s="43" t="n">
        <v>342</v>
      </c>
      <c r="D202" s="43" t="inlineStr">
        <is>
          <t>NOVA MUTUM</t>
        </is>
      </c>
      <c r="E202" s="43" t="n"/>
      <c r="F202" s="43" t="inlineStr">
        <is>
          <t>FUNCIONARIO EM PROCESSO DE CONTRATAÇÃO</t>
        </is>
      </c>
      <c r="G202" s="43" t="inlineStr">
        <is>
          <t>ALTERAR DEPRECIAÇÃO - SAMUEL</t>
        </is>
      </c>
      <c r="H202" s="44" t="inlineStr">
        <is>
          <t>ZF525MQH7H</t>
        </is>
      </c>
      <c r="I202" s="45" t="inlineStr">
        <is>
          <t>355722597078997</t>
        </is>
      </c>
      <c r="J202" s="45" t="inlineStr">
        <is>
          <t>355722597079003</t>
        </is>
      </c>
      <c r="K202" s="44" t="n">
        <v>2964</v>
      </c>
      <c r="L202" s="44" t="inlineStr">
        <is>
          <t>CEL0192</t>
        </is>
      </c>
    </row>
    <row r="203" hidden="1">
      <c r="A203" s="43" t="inlineStr">
        <is>
          <t>SMARTPHONE MOTO G06</t>
        </is>
      </c>
      <c r="B203" s="43" t="n">
        <v>15998231329</v>
      </c>
      <c r="C203" s="43" t="n">
        <v>342</v>
      </c>
      <c r="D203" s="43" t="inlineStr">
        <is>
          <t>NOVA MUTUM</t>
        </is>
      </c>
      <c r="E203" s="43" t="n"/>
      <c r="F203" s="43" t="inlineStr">
        <is>
          <t>FUNCIONARIO EM PROCESSO DE CONTRATAÇÃO</t>
        </is>
      </c>
      <c r="G203" s="43" t="inlineStr">
        <is>
          <t>ALTERAR DEPRECIAÇÃO - SAMUEL</t>
        </is>
      </c>
      <c r="H203" s="44" t="inlineStr">
        <is>
          <t>ZF525MRK8J</t>
        </is>
      </c>
      <c r="I203" s="45" t="inlineStr">
        <is>
          <t>355722597303296</t>
        </is>
      </c>
      <c r="J203" s="45" t="inlineStr">
        <is>
          <t>355722597303304</t>
        </is>
      </c>
      <c r="K203" s="44" t="n">
        <v>2965</v>
      </c>
      <c r="L203" s="44" t="inlineStr">
        <is>
          <t>CEL0193</t>
        </is>
      </c>
    </row>
    <row r="204" hidden="1">
      <c r="A204" s="43" t="inlineStr">
        <is>
          <t>SMARTPHONE MOTO G06</t>
        </is>
      </c>
      <c r="B204" s="43" t="n">
        <v>15996039437</v>
      </c>
      <c r="C204" s="43" t="n">
        <v>342</v>
      </c>
      <c r="D204" s="43" t="inlineStr">
        <is>
          <t>NOVA MUTUM</t>
        </is>
      </c>
      <c r="E204" s="43" t="n"/>
      <c r="F204" s="43" t="inlineStr">
        <is>
          <t>FUNCIONARIO EM PROCESSO DE CONTRATAÇÃO</t>
        </is>
      </c>
      <c r="G204" s="43" t="inlineStr">
        <is>
          <t>ALTERAR DEPRECIAÇÃO - SAMUEL</t>
        </is>
      </c>
      <c r="H204" s="44" t="inlineStr">
        <is>
          <t>ZF525MRG6N</t>
        </is>
      </c>
      <c r="I204" s="45" t="inlineStr">
        <is>
          <t>355722597299957</t>
        </is>
      </c>
      <c r="J204" s="45" t="inlineStr">
        <is>
          <t>355722597299965</t>
        </is>
      </c>
      <c r="K204" s="44" t="n">
        <v>2966</v>
      </c>
      <c r="L204" s="44" t="inlineStr">
        <is>
          <t>CEL0194</t>
        </is>
      </c>
    </row>
    <row r="205" hidden="1">
      <c r="A205" s="43" t="inlineStr">
        <is>
          <t>SMARTPHONE MOTO G06</t>
        </is>
      </c>
      <c r="B205" s="43" t="n">
        <v>15997881005</v>
      </c>
      <c r="C205" s="43" t="n">
        <v>342</v>
      </c>
      <c r="D205" s="43" t="inlineStr">
        <is>
          <t>NOVA MUTUM</t>
        </is>
      </c>
      <c r="E205" s="43" t="n"/>
      <c r="F205" s="43" t="inlineStr">
        <is>
          <t>FUNCIONARIO EM PROCESSO DE CONTRATAÇÃO</t>
        </is>
      </c>
      <c r="G205" s="43" t="inlineStr">
        <is>
          <t>ALTERAR DEPRECIAÇÃO - SAMUEL</t>
        </is>
      </c>
      <c r="H205" s="44" t="inlineStr">
        <is>
          <t>ZF525MQH4T</t>
        </is>
      </c>
      <c r="I205" s="45" t="inlineStr">
        <is>
          <t>355722597102938</t>
        </is>
      </c>
      <c r="J205" s="45" t="inlineStr">
        <is>
          <t>355722597102946</t>
        </is>
      </c>
      <c r="K205" s="44" t="n">
        <v>2967</v>
      </c>
      <c r="L205" s="44" t="inlineStr">
        <is>
          <t>CEL0195</t>
        </is>
      </c>
    </row>
    <row r="206" hidden="1">
      <c r="A206" s="43" t="inlineStr">
        <is>
          <t>SMARTPHONE MOTO G06</t>
        </is>
      </c>
      <c r="B206" s="43" t="n">
        <v>15997972661</v>
      </c>
      <c r="C206" s="43" t="n">
        <v>342</v>
      </c>
      <c r="D206" s="43" t="inlineStr">
        <is>
          <t>NOVA MUTUM</t>
        </is>
      </c>
      <c r="E206" s="43" t="n"/>
      <c r="F206" s="43" t="inlineStr">
        <is>
          <t>FUNCIONARIO EM PROCESSO DE CONTRATAÇÃO</t>
        </is>
      </c>
      <c r="G206" s="43" t="inlineStr">
        <is>
          <t>ALTERAR DEPRECIAÇÃO - SAMUEL</t>
        </is>
      </c>
      <c r="H206" s="44" t="inlineStr">
        <is>
          <t>ZF525MR9DG</t>
        </is>
      </c>
      <c r="I206" s="45" t="inlineStr">
        <is>
          <t>355722597320811</t>
        </is>
      </c>
      <c r="J206" s="45" t="inlineStr">
        <is>
          <t>355722597320829</t>
        </is>
      </c>
      <c r="K206" s="44" t="n">
        <v>2968</v>
      </c>
      <c r="L206" s="44" t="inlineStr">
        <is>
          <t>CEL0196</t>
        </is>
      </c>
    </row>
    <row r="207" hidden="1">
      <c r="A207" s="43" t="inlineStr">
        <is>
          <t>SMARTPHONE MOTO G06</t>
        </is>
      </c>
      <c r="B207" s="43" t="n">
        <v>15998590627</v>
      </c>
      <c r="C207" s="43" t="n">
        <v>342</v>
      </c>
      <c r="D207" s="43" t="inlineStr">
        <is>
          <t>NOVA MUTUM</t>
        </is>
      </c>
      <c r="E207" s="43" t="n"/>
      <c r="F207" s="43" t="inlineStr">
        <is>
          <t>FUNCIONARIO EM PROCESSO DE CONTRATAÇÃO</t>
        </is>
      </c>
      <c r="G207" s="43" t="inlineStr">
        <is>
          <t>ALTERAR DEPRECIAÇÃO - SAMUEL</t>
        </is>
      </c>
      <c r="H207" s="44" t="inlineStr">
        <is>
          <t>ZF525MQ7KQ</t>
        </is>
      </c>
      <c r="I207" s="45" t="inlineStr">
        <is>
          <t>355722597102235</t>
        </is>
      </c>
      <c r="J207" s="45" t="inlineStr">
        <is>
          <t>355722597102243</t>
        </is>
      </c>
      <c r="K207" s="44" t="n">
        <v>2969</v>
      </c>
      <c r="L207" s="44" t="inlineStr">
        <is>
          <t>CEL0229</t>
        </is>
      </c>
    </row>
    <row r="208" hidden="1">
      <c r="A208" s="43" t="inlineStr">
        <is>
          <t>SMARTPHONE MOTO G06</t>
        </is>
      </c>
      <c r="B208" s="43" t="n">
        <v>15998578541</v>
      </c>
      <c r="C208" s="43" t="n">
        <v>342</v>
      </c>
      <c r="D208" s="43" t="inlineStr">
        <is>
          <t>NOVA MUTUM</t>
        </is>
      </c>
      <c r="E208" s="43" t="n"/>
      <c r="F208" s="43" t="inlineStr">
        <is>
          <t>FUNCIONARIO EM PROCESSO DE CONTRATAÇÃO</t>
        </is>
      </c>
      <c r="G208" s="43" t="inlineStr">
        <is>
          <t>ALTERAR DEPRECIAÇÃO - SAMUEL</t>
        </is>
      </c>
      <c r="H208" s="44" t="inlineStr">
        <is>
          <t>ZF525MRHXM</t>
        </is>
      </c>
      <c r="I208" s="45" t="inlineStr">
        <is>
          <t>355722597271816</t>
        </is>
      </c>
      <c r="J208" s="45" t="inlineStr">
        <is>
          <t>355722597271824</t>
        </is>
      </c>
      <c r="K208" s="44" t="n">
        <v>2970</v>
      </c>
      <c r="L208" s="44" t="inlineStr">
        <is>
          <t>CEL0197</t>
        </is>
      </c>
    </row>
    <row r="209" hidden="1">
      <c r="A209" s="43" t="inlineStr">
        <is>
          <t>SMARTPHONE MOTO G06</t>
        </is>
      </c>
      <c r="B209" s="43" t="n">
        <v>15996794273</v>
      </c>
      <c r="C209" s="43" t="n">
        <v>342</v>
      </c>
      <c r="D209" s="43" t="inlineStr">
        <is>
          <t>NOVA MUTUM</t>
        </is>
      </c>
      <c r="E209" s="43" t="n"/>
      <c r="F209" s="43" t="inlineStr">
        <is>
          <t>FUNCIONARIO EM PROCESSO DE CONTRATAÇÃO</t>
        </is>
      </c>
      <c r="G209" s="43" t="inlineStr">
        <is>
          <t>ALTERAR DEPRECIAÇÃO - SAMUEL</t>
        </is>
      </c>
      <c r="H209" s="44" t="inlineStr">
        <is>
          <t>ZF525MQTCV</t>
        </is>
      </c>
      <c r="I209" s="45" t="inlineStr">
        <is>
          <t>355722597333293</t>
        </is>
      </c>
      <c r="J209" s="45" t="inlineStr">
        <is>
          <t>355722597333301</t>
        </is>
      </c>
      <c r="K209" s="44" t="n">
        <v>2971</v>
      </c>
      <c r="L209" s="44" t="inlineStr">
        <is>
          <t>CEL0198</t>
        </is>
      </c>
    </row>
    <row r="210" hidden="1">
      <c r="A210" s="43" t="inlineStr">
        <is>
          <t>SMARTPHONE MOTO G06</t>
        </is>
      </c>
      <c r="B210" s="43" t="n">
        <v>15997100579</v>
      </c>
      <c r="C210" s="43" t="n">
        <v>342</v>
      </c>
      <c r="D210" s="43" t="inlineStr">
        <is>
          <t>NOVA MUTUM</t>
        </is>
      </c>
      <c r="E210" s="43" t="n"/>
      <c r="F210" s="43" t="inlineStr">
        <is>
          <t>FUNCIONARIO EM PROCESSO DE CONTRATAÇÃO</t>
        </is>
      </c>
      <c r="G210" s="43" t="inlineStr">
        <is>
          <t>ALTERAR DEPRECIAÇÃO - SAMUEL</t>
        </is>
      </c>
      <c r="H210" s="44" t="inlineStr">
        <is>
          <t>ZF525MRV7X</t>
        </is>
      </c>
      <c r="I210" s="45" t="inlineStr">
        <is>
          <t>355722597334358</t>
        </is>
      </c>
      <c r="J210" s="45" t="inlineStr">
        <is>
          <t>355722597334366</t>
        </is>
      </c>
      <c r="K210" s="44" t="n">
        <v>2972</v>
      </c>
      <c r="L210" s="44" t="inlineStr">
        <is>
          <t>CEL0199</t>
        </is>
      </c>
    </row>
    <row r="211" hidden="1">
      <c r="A211" s="43" t="inlineStr">
        <is>
          <t>SMARTPHONE MOTO G06</t>
        </is>
      </c>
      <c r="B211" s="43" t="n">
        <v>15998415981</v>
      </c>
      <c r="C211" s="43" t="n">
        <v>342</v>
      </c>
      <c r="D211" s="43" t="inlineStr">
        <is>
          <t>NOVA MUTUM</t>
        </is>
      </c>
      <c r="E211" s="43" t="n"/>
      <c r="F211" s="43" t="inlineStr">
        <is>
          <t>FUNCIONARIO EM PROCESSO DE CONTRATAÇÃO</t>
        </is>
      </c>
      <c r="G211" s="43" t="inlineStr">
        <is>
          <t>ALTERAR DEPRECIAÇÃO - SAMUEL</t>
        </is>
      </c>
      <c r="H211" s="44" t="inlineStr">
        <is>
          <t>ZF525MQZTV</t>
        </is>
      </c>
      <c r="I211" s="45" t="inlineStr">
        <is>
          <t>355722597291616</t>
        </is>
      </c>
      <c r="J211" s="45" t="inlineStr">
        <is>
          <t>355722597291624</t>
        </is>
      </c>
      <c r="K211" s="44" t="n">
        <v>2973</v>
      </c>
      <c r="L211" s="44" t="inlineStr">
        <is>
          <t>CEL0200</t>
        </is>
      </c>
    </row>
    <row r="212" hidden="1">
      <c r="A212" s="4" t="inlineStr">
        <is>
          <t>SMARTPHONE MOTO G06</t>
        </is>
      </c>
      <c r="C212" s="4" t="n">
        <v>342</v>
      </c>
      <c r="D212" s="4" t="inlineStr">
        <is>
          <t>NOVA MUTUM</t>
        </is>
      </c>
      <c r="F212" s="4" t="inlineStr">
        <is>
          <t>FUNCIONARIO EM PROCESSO DE CONTRATAÇÃO</t>
        </is>
      </c>
      <c r="G212" s="4" t="inlineStr">
        <is>
          <t>ALTERAR DEPRECIAÇÃO - SAMUEL</t>
        </is>
      </c>
      <c r="K212" s="4" t="n">
        <v>2974</v>
      </c>
    </row>
    <row r="213" hidden="1">
      <c r="A213" s="4" t="inlineStr">
        <is>
          <t>SMARTPHONE MOTO G06</t>
        </is>
      </c>
      <c r="C213" s="4" t="n">
        <v>342</v>
      </c>
      <c r="D213" s="4" t="inlineStr">
        <is>
          <t>NOVA MUTUM</t>
        </is>
      </c>
      <c r="F213" s="4" t="inlineStr">
        <is>
          <t>FUNCIONARIO EM PROCESSO DE CONTRATAÇÃO</t>
        </is>
      </c>
      <c r="G213" s="4" t="inlineStr">
        <is>
          <t>ALTERAR DEPRECIAÇÃO - SAMUEL</t>
        </is>
      </c>
      <c r="K213" s="4" t="n">
        <v>2975</v>
      </c>
    </row>
    <row r="214" hidden="1">
      <c r="A214" s="4" t="inlineStr">
        <is>
          <t>SMARTPHONE MOTO G06</t>
        </is>
      </c>
      <c r="C214" s="4" t="n">
        <v>342</v>
      </c>
      <c r="D214" s="4" t="inlineStr">
        <is>
          <t>NOVA MUTUM</t>
        </is>
      </c>
      <c r="F214" s="4" t="inlineStr">
        <is>
          <t>FUNCIONARIO EM PROCESSO DE CONTRATAÇÃO</t>
        </is>
      </c>
      <c r="G214" s="4" t="inlineStr">
        <is>
          <t>ALTERAR DEPRECIAÇÃO - SAMUEL</t>
        </is>
      </c>
      <c r="K214" s="4" t="n">
        <v>2976</v>
      </c>
    </row>
    <row r="215" hidden="1">
      <c r="A215" s="4" t="inlineStr">
        <is>
          <t>SMARTPHONE MOTO G06</t>
        </is>
      </c>
      <c r="C215" s="4" t="n">
        <v>342</v>
      </c>
      <c r="D215" s="4" t="inlineStr">
        <is>
          <t>NOVA MUTUM</t>
        </is>
      </c>
      <c r="F215" s="4" t="inlineStr">
        <is>
          <t>FUNCIONARIO EM PROCESSO DE CONTRATAÇÃO</t>
        </is>
      </c>
      <c r="G215" s="4" t="inlineStr">
        <is>
          <t>ALTERAR DEPRECIAÇÃO - SAMUEL</t>
        </is>
      </c>
      <c r="K215" s="4" t="n">
        <v>2977</v>
      </c>
    </row>
    <row r="216" hidden="1">
      <c r="A216" s="4" t="inlineStr">
        <is>
          <t>SMARTPHONE MOTO G06</t>
        </is>
      </c>
      <c r="C216" s="4" t="n">
        <v>342</v>
      </c>
      <c r="D216" s="4" t="inlineStr">
        <is>
          <t>NOVA MUTUM</t>
        </is>
      </c>
      <c r="F216" s="4" t="inlineStr">
        <is>
          <t>FUNCIONARIO EM PROCESSO DE CONTRATAÇÃO</t>
        </is>
      </c>
      <c r="G216" s="4" t="inlineStr">
        <is>
          <t>ALTERAR DEPRECIAÇÃO - SAMUEL</t>
        </is>
      </c>
      <c r="K216" s="4" t="n">
        <v>2978</v>
      </c>
    </row>
    <row r="217" hidden="1">
      <c r="A217" s="4" t="inlineStr">
        <is>
          <t>SMARTPHONE MOTO G06</t>
        </is>
      </c>
      <c r="C217" s="4" t="n">
        <v>342</v>
      </c>
      <c r="D217" s="4" t="inlineStr">
        <is>
          <t>NOVA MUTUM</t>
        </is>
      </c>
      <c r="F217" s="4" t="inlineStr">
        <is>
          <t>FUNCIONARIO EM PROCESSO DE CONTRATAÇÃO</t>
        </is>
      </c>
      <c r="G217" s="4" t="inlineStr">
        <is>
          <t>ALTERAR DEPRECIAÇÃO - SAMUEL</t>
        </is>
      </c>
      <c r="K217" s="4" t="n">
        <v>2979</v>
      </c>
    </row>
    <row r="218" hidden="1">
      <c r="A218" s="4" t="inlineStr">
        <is>
          <t>SMARTPHONE MOTO G06</t>
        </is>
      </c>
      <c r="C218" s="4" t="n">
        <v>342</v>
      </c>
      <c r="D218" s="4" t="inlineStr">
        <is>
          <t>NOVA MUTUM</t>
        </is>
      </c>
      <c r="F218" s="4" t="inlineStr">
        <is>
          <t>FUNCIONARIO EM PROCESSO DE CONTRATAÇÃO</t>
        </is>
      </c>
      <c r="G218" s="4" t="inlineStr">
        <is>
          <t>ALTERAR DEPRECIAÇÃO - SAMUEL</t>
        </is>
      </c>
      <c r="K218" s="4" t="n">
        <v>2980</v>
      </c>
    </row>
    <row r="219" hidden="1">
      <c r="A219" s="4" t="inlineStr">
        <is>
          <t>SMARTPHONE MOTO G06</t>
        </is>
      </c>
      <c r="C219" s="4" t="n">
        <v>342</v>
      </c>
      <c r="D219" s="4" t="inlineStr">
        <is>
          <t>NOVA MUTUM</t>
        </is>
      </c>
      <c r="F219" s="4" t="inlineStr">
        <is>
          <t>FUNCIONARIO EM PROCESSO DE CONTRATAÇÃO</t>
        </is>
      </c>
      <c r="G219" s="4" t="inlineStr">
        <is>
          <t>ALTERAR DEPRECIAÇÃO - SAMUEL</t>
        </is>
      </c>
      <c r="K219" s="4" t="n">
        <v>2981</v>
      </c>
    </row>
    <row r="220" hidden="1">
      <c r="A220" s="4" t="inlineStr">
        <is>
          <t>SMARTPHONE MOTO G06</t>
        </is>
      </c>
      <c r="C220" s="4" t="n">
        <v>342</v>
      </c>
      <c r="D220" s="4" t="inlineStr">
        <is>
          <t>NOVA MUTUM</t>
        </is>
      </c>
      <c r="F220" s="4" t="inlineStr">
        <is>
          <t>FUNCIONARIO EM PROCESSO DE CONTRATAÇÃO</t>
        </is>
      </c>
      <c r="G220" s="4" t="inlineStr">
        <is>
          <t>ALTERAR DEPRECIAÇÃO - SAMUEL</t>
        </is>
      </c>
      <c r="K220" s="4" t="n">
        <v>2982</v>
      </c>
    </row>
    <row r="221" hidden="1">
      <c r="A221" s="4" t="inlineStr">
        <is>
          <t>SMARTPHONE MOTO G06</t>
        </is>
      </c>
      <c r="C221" s="4" t="n">
        <v>342</v>
      </c>
      <c r="D221" s="4" t="inlineStr">
        <is>
          <t>NOVA MUTUM</t>
        </is>
      </c>
      <c r="F221" s="4" t="inlineStr">
        <is>
          <t>FUNCIONARIO EM PROCESSO DE CONTRATAÇÃO</t>
        </is>
      </c>
      <c r="G221" s="4" t="inlineStr">
        <is>
          <t>ALTERAR DEPRECIAÇÃO - SAMUEL</t>
        </is>
      </c>
      <c r="K221" s="4" t="n">
        <v>2983</v>
      </c>
    </row>
    <row r="222" hidden="1">
      <c r="A222" s="4" t="inlineStr">
        <is>
          <t>SMARTPHONE MOTO G06</t>
        </is>
      </c>
      <c r="C222" s="4" t="n">
        <v>342</v>
      </c>
      <c r="D222" s="4" t="inlineStr">
        <is>
          <t>NOVA MUTUM</t>
        </is>
      </c>
      <c r="F222" s="4" t="inlineStr">
        <is>
          <t>FUNCIONARIO EM PROCESSO DE CONTRATAÇÃO</t>
        </is>
      </c>
      <c r="G222" s="4" t="inlineStr">
        <is>
          <t>ALTERAR DEPRECIAÇÃO - SAMUEL</t>
        </is>
      </c>
      <c r="K222" s="4" t="n">
        <v>2984</v>
      </c>
    </row>
    <row r="223" hidden="1">
      <c r="A223" s="4" t="inlineStr">
        <is>
          <t>SMARTPHONE MOTO G06</t>
        </is>
      </c>
      <c r="C223" s="4" t="n">
        <v>342</v>
      </c>
      <c r="D223" s="4" t="inlineStr">
        <is>
          <t>NOVA MUTUM</t>
        </is>
      </c>
      <c r="F223" s="4" t="inlineStr">
        <is>
          <t>FUNCIONARIO EM PROCESSO DE CONTRATAÇÃO</t>
        </is>
      </c>
      <c r="G223" s="4" t="inlineStr">
        <is>
          <t>ALTERAR DEPRECIAÇÃO - SAMUEL</t>
        </is>
      </c>
      <c r="K223" s="4" t="n">
        <v>2985</v>
      </c>
    </row>
    <row r="224" hidden="1">
      <c r="A224" s="4" t="inlineStr">
        <is>
          <t>SMARTPHONE MOTO G06</t>
        </is>
      </c>
      <c r="C224" s="4" t="n">
        <v>342</v>
      </c>
      <c r="D224" s="4" t="inlineStr">
        <is>
          <t>NOVA MUTUM</t>
        </is>
      </c>
      <c r="F224" s="4" t="inlineStr">
        <is>
          <t>FUNCIONARIO EM PROCESSO DE CONTRATAÇÃO</t>
        </is>
      </c>
      <c r="G224" s="4" t="inlineStr">
        <is>
          <t>ALTERAR DEPRECIAÇÃO - SAMUEL</t>
        </is>
      </c>
      <c r="K224" s="4" t="n">
        <v>2986</v>
      </c>
    </row>
    <row r="225" hidden="1">
      <c r="A225" s="4" t="inlineStr">
        <is>
          <t>SMARTPHONE MOTO G06</t>
        </is>
      </c>
      <c r="C225" s="4" t="n">
        <v>342</v>
      </c>
      <c r="D225" s="4" t="inlineStr">
        <is>
          <t>NOVA MUTUM</t>
        </is>
      </c>
      <c r="F225" s="4" t="inlineStr">
        <is>
          <t>FUNCIONARIO EM PROCESSO DE CONTRATAÇÃO</t>
        </is>
      </c>
      <c r="G225" s="4" t="inlineStr">
        <is>
          <t>ALTERAR DEPRECIAÇÃO - SAMUEL</t>
        </is>
      </c>
      <c r="K225" s="4" t="n">
        <v>2987</v>
      </c>
    </row>
    <row r="226" hidden="1">
      <c r="A226" s="4" t="inlineStr">
        <is>
          <t>SMARTPHONE MOTO G06</t>
        </is>
      </c>
      <c r="C226" s="4" t="n">
        <v>342</v>
      </c>
      <c r="D226" s="4" t="inlineStr">
        <is>
          <t>NOVA MUTUM</t>
        </is>
      </c>
      <c r="F226" s="4" t="inlineStr">
        <is>
          <t>FUNCIONARIO EM PROCESSO DE CONTRATAÇÃO</t>
        </is>
      </c>
      <c r="G226" s="4" t="inlineStr">
        <is>
          <t>ALTERAR DEPRECIAÇÃO - SAMUEL</t>
        </is>
      </c>
      <c r="K226" s="4" t="n">
        <v>2988</v>
      </c>
    </row>
    <row r="227" hidden="1">
      <c r="A227" s="4" t="inlineStr">
        <is>
          <t>SMARTPHONE MOTO G06</t>
        </is>
      </c>
      <c r="D227" s="4" t="inlineStr">
        <is>
          <t>C08 - CMPC SAO GABRIEL MECANIZADO</t>
        </is>
      </c>
      <c r="K227" s="4" t="n">
        <v>2989</v>
      </c>
    </row>
    <row r="228" hidden="1">
      <c r="A228" s="4" t="inlineStr">
        <is>
          <t>SMARTPHONE MOTO G06</t>
        </is>
      </c>
      <c r="D228" s="4" t="inlineStr">
        <is>
          <t>C08 - CMPC SAO GABRIEL MECANIZADO</t>
        </is>
      </c>
      <c r="K228" s="4" t="n">
        <v>2990</v>
      </c>
    </row>
    <row r="229" hidden="1">
      <c r="A229" s="4" t="inlineStr">
        <is>
          <t>SMARTPHONE MOTO G06</t>
        </is>
      </c>
      <c r="D229" s="4" t="inlineStr">
        <is>
          <t>C08 - CMPC SAO GABRIEL MECANIZADO</t>
        </is>
      </c>
      <c r="K229" s="4" t="n">
        <v>2991</v>
      </c>
    </row>
    <row r="230" hidden="1">
      <c r="A230" s="4" t="inlineStr">
        <is>
          <t>SMARTPHONE MOTO G06</t>
        </is>
      </c>
      <c r="D230" s="4" t="inlineStr">
        <is>
          <t>C08 - CMPC SAO GABRIEL MECANIZADO</t>
        </is>
      </c>
      <c r="K230" s="4" t="n">
        <v>2992</v>
      </c>
    </row>
    <row r="231" hidden="1">
      <c r="A231" s="4" t="inlineStr">
        <is>
          <t>SMARTPHONE MOTO G06</t>
        </is>
      </c>
      <c r="D231" s="4" t="inlineStr">
        <is>
          <t>C08 - CMPC SAO GABRIEL MECANIZADO</t>
        </is>
      </c>
      <c r="K231" s="4" t="n">
        <v>2993</v>
      </c>
    </row>
    <row r="232" hidden="1">
      <c r="A232" s="4" t="inlineStr">
        <is>
          <t>SMARTPHONE MOTO G06</t>
        </is>
      </c>
      <c r="D232" s="4" t="inlineStr">
        <is>
          <t>C08 - CMPC SAO GABRIEL MECANIZADO</t>
        </is>
      </c>
      <c r="K232" s="4" t="n">
        <v>2994</v>
      </c>
    </row>
    <row r="233" hidden="1">
      <c r="A233" s="4" t="inlineStr">
        <is>
          <t>SMARTPHONE MOTO G06</t>
        </is>
      </c>
      <c r="D233" s="4" t="inlineStr">
        <is>
          <t>C08 - CMPC SAO GABRIEL MECANIZADO</t>
        </is>
      </c>
      <c r="K233" s="4" t="n">
        <v>2995</v>
      </c>
    </row>
    <row r="234" hidden="1">
      <c r="A234" s="4" t="inlineStr">
        <is>
          <t>SMARTPHONE MOTO G06</t>
        </is>
      </c>
      <c r="D234" s="4" t="inlineStr">
        <is>
          <t>C08 - CMPC SAO GABRIEL MECANIZADO</t>
        </is>
      </c>
      <c r="K234" s="4" t="n">
        <v>2996</v>
      </c>
    </row>
    <row r="235" hidden="1">
      <c r="A235" s="4" t="inlineStr">
        <is>
          <t>SMARTPHONE MOTO G06</t>
        </is>
      </c>
      <c r="D235" s="4" t="inlineStr">
        <is>
          <t>C08 - CMPC SAO GABRIEL MECANIZADO</t>
        </is>
      </c>
      <c r="K235" s="4" t="n">
        <v>2997</v>
      </c>
    </row>
    <row r="236" hidden="1">
      <c r="A236" s="4" t="inlineStr">
        <is>
          <t>SMARTPHONE MOTO G06</t>
        </is>
      </c>
      <c r="D236" s="4" t="inlineStr">
        <is>
          <t>C08 - CMPC SAO GABRIEL MECANIZADO</t>
        </is>
      </c>
      <c r="K236" s="4" t="n">
        <v>2998</v>
      </c>
    </row>
    <row r="237" hidden="1">
      <c r="A237" s="4" t="inlineStr">
        <is>
          <t>SMARTPHONE MOTO G06</t>
        </is>
      </c>
      <c r="D237" s="4" t="inlineStr">
        <is>
          <t>C08 - CMPC SAO GABRIEL MECANIZADO</t>
        </is>
      </c>
      <c r="K237" s="4" t="n">
        <v>2999</v>
      </c>
    </row>
    <row r="238" hidden="1">
      <c r="A238" s="4" t="inlineStr">
        <is>
          <t>SMARTPHONE MOTO G06</t>
        </is>
      </c>
      <c r="D238" s="4" t="inlineStr">
        <is>
          <t>C08 - CMPC SAO GABRIEL MECANIZADO</t>
        </is>
      </c>
      <c r="K238" s="4" t="n">
        <v>3000</v>
      </c>
    </row>
    <row r="239" hidden="1">
      <c r="A239" s="4" t="inlineStr">
        <is>
          <t>SMARTPHONE MOTO G06</t>
        </is>
      </c>
      <c r="D239" s="4" t="inlineStr">
        <is>
          <t>C08 - CMPC SAO GABRIEL MECANIZADO</t>
        </is>
      </c>
      <c r="K239" s="4" t="n">
        <v>3001</v>
      </c>
    </row>
  </sheetData>
  <autoFilter ref="A1:V239">
    <filterColumn colId="7" hiddenButton="0" showButton="1">
      <filters>
        <filter val="RQCY90285CH"/>
      </filters>
    </filterColumn>
  </autoFilter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N11" sqref="N11"/>
    </sheetView>
  </sheetViews>
  <sheetFormatPr baseColWidth="8" defaultRowHeight="15"/>
  <cols>
    <col width="12.7109375" customWidth="1" style="4" min="1" max="1"/>
    <col width="13.28515625" customWidth="1" style="4" min="2" max="2"/>
    <col width="13.140625" customWidth="1" style="4" min="3" max="3"/>
    <col width="15.85546875" customWidth="1" style="4" min="4" max="4"/>
    <col width="10.7109375" customWidth="1" style="4" min="5" max="5"/>
    <col width="25" customWidth="1" min="6" max="6"/>
    <col width="12.7109375" customWidth="1" min="7" max="7"/>
    <col width="35.28515625" customWidth="1" min="8" max="8"/>
    <col width="18.42578125" customWidth="1" style="4" min="9" max="9"/>
    <col width="14.7109375" bestFit="1" customWidth="1" style="4" min="10" max="10"/>
    <col width="12.140625" customWidth="1" style="4" min="11" max="11"/>
    <col width="12.5703125" bestFit="1" customWidth="1" style="4" min="12" max="12"/>
    <col width="13.42578125" bestFit="1" customWidth="1" style="4" min="13" max="13"/>
    <col width="13.140625" bestFit="1" customWidth="1" style="4" min="14" max="14"/>
    <col width="13.140625" customWidth="1" style="4" min="15" max="15"/>
    <col width="14.42578125" customWidth="1" style="4" min="16" max="16"/>
    <col width="16.140625" customWidth="1" style="4" min="17" max="17"/>
  </cols>
  <sheetData>
    <row r="1">
      <c r="A1" s="2" t="inlineStr">
        <is>
          <t>Periodo</t>
        </is>
      </c>
      <c r="B1" s="2" t="inlineStr">
        <is>
          <t>Num Conta</t>
        </is>
      </c>
      <c r="C1" s="2" t="inlineStr">
        <is>
          <t>Empresa</t>
        </is>
      </c>
      <c r="D1" s="2" t="inlineStr">
        <is>
          <t>Linha</t>
        </is>
      </c>
      <c r="E1" s="2" t="inlineStr">
        <is>
          <t>Cod CDC</t>
        </is>
      </c>
      <c r="F1" s="2" t="inlineStr">
        <is>
          <t>CDC</t>
        </is>
      </c>
      <c r="G1" s="2" t="inlineStr">
        <is>
          <t>Chapa</t>
        </is>
      </c>
      <c r="H1" s="2" t="inlineStr">
        <is>
          <t>Nome</t>
        </is>
      </c>
      <c r="I1" s="2" t="inlineStr">
        <is>
          <t>Num Serie</t>
        </is>
      </c>
      <c r="J1" s="2" t="inlineStr">
        <is>
          <t>Data da compra</t>
        </is>
      </c>
      <c r="K1" s="2" t="inlineStr">
        <is>
          <t>Valor total</t>
        </is>
      </c>
      <c r="L1" s="2" t="inlineStr">
        <is>
          <t>Valor mensal</t>
        </is>
      </c>
      <c r="M1" s="2" t="inlineStr">
        <is>
          <t>Parcelamento</t>
        </is>
      </c>
      <c r="N1" s="2" t="inlineStr">
        <is>
          <t>Num parcelas</t>
        </is>
      </c>
      <c r="O1" s="2" t="inlineStr">
        <is>
          <t>Status</t>
        </is>
      </c>
      <c r="P1" s="2" t="inlineStr">
        <is>
          <t>Termo</t>
        </is>
      </c>
      <c r="Q1" s="2" t="inlineStr">
        <is>
          <t>Dt Atualização</t>
        </is>
      </c>
    </row>
    <row r="2">
      <c r="A2" s="92" t="n">
        <v>46174</v>
      </c>
      <c r="B2" s="93" t="n">
        <v>0</v>
      </c>
      <c r="C2" s="4" t="inlineStr">
        <is>
          <t>VIVO</t>
        </is>
      </c>
      <c r="D2" s="4" t="n">
        <v>15991234567</v>
      </c>
      <c r="E2" s="4" t="n">
        <v>1234</v>
      </c>
      <c r="F2" t="inlineStr">
        <is>
          <t>Tecnologia</t>
        </is>
      </c>
      <c r="G2" t="n">
        <v>10000000</v>
      </c>
      <c r="H2" t="inlineStr">
        <is>
          <t>Ana Julia de Fatima Garcia</t>
        </is>
      </c>
      <c r="I2" s="4" t="inlineStr">
        <is>
          <t>NUM123456789</t>
        </is>
      </c>
      <c r="J2" s="6" t="n">
        <v>46065</v>
      </c>
      <c r="K2" s="82" t="n">
        <v>1500</v>
      </c>
      <c r="L2" s="82">
        <f>K2/N2</f>
        <v/>
      </c>
      <c r="M2" s="4">
        <f>ROUNDUP((TODAY()-J2)/30,0)</f>
        <v/>
      </c>
      <c r="N2" s="4" t="n">
        <v>12</v>
      </c>
      <c r="O2" s="82">
        <f>IF(M2&lt;=N2,"Pagando","Pago")</f>
        <v/>
      </c>
      <c r="P2" s="82" t="inlineStr">
        <is>
          <t>Pendente</t>
        </is>
      </c>
      <c r="Q2" s="6" t="n">
        <v>46174</v>
      </c>
    </row>
  </sheetData>
  <conditionalFormatting sqref="O1:O1048576">
    <cfRule type="containsText" priority="1" operator="containsText" dxfId="7" text="Finalizado">
      <formula>NOT(ISERROR(SEARCH("Finalizado",O1)))</formula>
    </cfRule>
    <cfRule type="containsText" priority="2" operator="containsText" dxfId="9" text="Pagando">
      <formula>NOT(ISERROR(SEARCH("Pagando",O1)))</formula>
    </cfRule>
  </conditionalFormatting>
  <conditionalFormatting sqref="P1:P1048576">
    <cfRule type="containsText" priority="3" operator="containsText" dxfId="7" text="Assinado">
      <formula>NOT(ISERROR(SEARCH("Assinado",P1)))</formula>
    </cfRule>
    <cfRule type="containsText" priority="4" operator="containsText" dxfId="9" text="Enviado">
      <formula>NOT(ISERROR(SEARCH("Enviado",P1)))</formula>
    </cfRule>
    <cfRule type="containsText" priority="5" operator="containsText" dxfId="5" text="Pendente">
      <formula>NOT(ISERROR(SEARCH("Pendente",P1)))</formula>
    </cfRule>
  </conditionalFormatting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I17" sqref="I17"/>
    </sheetView>
  </sheetViews>
  <sheetFormatPr baseColWidth="8" defaultRowHeight="15"/>
  <cols>
    <col width="14.7109375" bestFit="1" customWidth="1" style="4" min="1" max="1"/>
    <col width="14" bestFit="1" customWidth="1" style="4" min="2" max="2"/>
    <col width="21.42578125" bestFit="1" customWidth="1" style="4" min="3" max="3"/>
    <col width="13.85546875" customWidth="1" style="4" min="4" max="4"/>
    <col width="17" customWidth="1" style="4" min="5" max="5"/>
    <col width="17.28515625" customWidth="1" style="4" min="6" max="6"/>
    <col width="14.140625" customWidth="1" style="4" min="7" max="7"/>
    <col width="26.7109375" customWidth="1" style="9" min="8" max="8"/>
    <col width="12.85546875" customWidth="1" style="4" min="9" max="9"/>
    <col width="42.5703125" customWidth="1" style="9" min="10" max="10"/>
    <col width="14.85546875" customWidth="1" style="4" min="11" max="11"/>
    <col width="16.85546875" customWidth="1" style="4" min="12" max="12"/>
    <col width="9.140625" customWidth="1" style="4" min="13" max="24"/>
    <col width="9.140625" customWidth="1" style="4" min="25" max="16384"/>
  </cols>
  <sheetData>
    <row r="1">
      <c r="A1" s="2" t="inlineStr">
        <is>
          <t>Data da compra</t>
        </is>
      </c>
      <c r="B1" s="2" t="inlineStr">
        <is>
          <t>Ultima parcela</t>
        </is>
      </c>
      <c r="C1" s="2" t="inlineStr">
        <is>
          <t>Tempo de uso (meses)</t>
        </is>
      </c>
      <c r="D1" s="2" t="inlineStr">
        <is>
          <t>Empresa</t>
        </is>
      </c>
      <c r="E1" s="2" t="inlineStr">
        <is>
          <t>Linha</t>
        </is>
      </c>
      <c r="F1" s="2" t="inlineStr">
        <is>
          <t>Num Serie</t>
        </is>
      </c>
      <c r="G1" s="2" t="inlineStr">
        <is>
          <t>Cod CDC</t>
        </is>
      </c>
      <c r="H1" s="2" t="inlineStr">
        <is>
          <t>CDC</t>
        </is>
      </c>
      <c r="I1" s="2" t="inlineStr">
        <is>
          <t>Chapa</t>
        </is>
      </c>
      <c r="J1" s="2" t="inlineStr">
        <is>
          <t>Nome</t>
        </is>
      </c>
      <c r="K1" s="2" t="inlineStr">
        <is>
          <t>Termo</t>
        </is>
      </c>
      <c r="L1" s="2" t="inlineStr">
        <is>
          <t>Dt Atualização</t>
        </is>
      </c>
    </row>
    <row r="2">
      <c r="A2" s="6" t="n">
        <v>45689</v>
      </c>
      <c r="B2" s="92" t="n">
        <v>46174</v>
      </c>
      <c r="C2" s="4">
        <f>(TODAY()-A2)/30</f>
        <v/>
      </c>
      <c r="D2" s="4" t="inlineStr">
        <is>
          <t>VIVO</t>
        </is>
      </c>
      <c r="E2" s="4" t="n">
        <v>15991234567</v>
      </c>
      <c r="F2" s="4" t="inlineStr">
        <is>
          <t>NUM123456789</t>
        </is>
      </c>
      <c r="G2" s="4" t="n">
        <v>1234</v>
      </c>
      <c r="H2" s="9" t="inlineStr">
        <is>
          <t>Tecnologia</t>
        </is>
      </c>
      <c r="I2" s="4" t="n">
        <v>10000000</v>
      </c>
      <c r="J2" s="9" t="inlineStr">
        <is>
          <t>Ana Julia de Fatima Garcia</t>
        </is>
      </c>
      <c r="K2" s="82" t="inlineStr">
        <is>
          <t>Pendente</t>
        </is>
      </c>
      <c r="L2" s="6" t="n">
        <v>46174</v>
      </c>
    </row>
  </sheetData>
  <conditionalFormatting sqref="K1:K1048576">
    <cfRule type="containsText" priority="1" operator="containsText" dxfId="7" text="Assinado">
      <formula>NOT(ISERROR(SEARCH("Assinado",K1)))</formula>
    </cfRule>
    <cfRule type="containsText" priority="2" operator="containsText" dxfId="6" text="Enviado">
      <formula>NOT(ISERROR(SEARCH("Enviado",K1)))</formula>
    </cfRule>
    <cfRule type="containsText" priority="3" operator="containsText" dxfId="5" text="Pendente">
      <formula>NOT(ISERROR(SEARCH("Pendente",K1)))</formula>
    </cfRule>
  </conditionalFormatting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C2" sqref="C2"/>
    </sheetView>
  </sheetViews>
  <sheetFormatPr baseColWidth="8" defaultRowHeight="15"/>
  <cols>
    <col width="16.7109375" bestFit="1" customWidth="1" style="19" min="1" max="1"/>
    <col width="20" customWidth="1" style="19" min="2" max="2"/>
    <col width="32.42578125" customWidth="1" style="19" min="3" max="3"/>
    <col width="12.28515625" bestFit="1" customWidth="1" style="19" min="4" max="4"/>
    <col width="23.85546875" customWidth="1" style="20" min="5" max="5"/>
    <col width="21.7109375" bestFit="1" customWidth="1" min="6" max="6"/>
  </cols>
  <sheetData>
    <row r="1">
      <c r="A1" s="21" t="inlineStr">
        <is>
          <t>OPERADORA</t>
        </is>
      </c>
      <c r="B1" s="22" t="inlineStr">
        <is>
          <t>LINHA</t>
        </is>
      </c>
      <c r="C1" s="22" t="inlineStr">
        <is>
          <t>ICCID</t>
        </is>
      </c>
      <c r="D1" s="22" t="inlineStr">
        <is>
          <t>STATUS</t>
        </is>
      </c>
      <c r="E1" s="23" t="inlineStr">
        <is>
          <t>DATA ATUALIZAÇÃO</t>
        </is>
      </c>
      <c r="F1" s="48" t="inlineStr">
        <is>
          <t>Coluna1</t>
        </is>
      </c>
    </row>
    <row r="2">
      <c r="A2" s="24" t="inlineStr">
        <is>
          <t>VIVO</t>
        </is>
      </c>
      <c r="B2" s="25" t="n"/>
      <c r="C2" s="25" t="n"/>
      <c r="D2" s="25" t="inlineStr">
        <is>
          <t>SEPARADO</t>
        </is>
      </c>
      <c r="E2" s="26" t="n"/>
      <c r="F2" s="25" t="n"/>
    </row>
    <row r="3">
      <c r="A3" s="24" t="inlineStr">
        <is>
          <t>VIVO</t>
        </is>
      </c>
      <c r="B3" s="25" t="n"/>
      <c r="C3" s="25" t="n"/>
      <c r="D3" s="25" t="inlineStr">
        <is>
          <t>VIRGEM</t>
        </is>
      </c>
      <c r="E3" s="26" t="n"/>
      <c r="F3" s="25" t="n"/>
    </row>
    <row r="4">
      <c r="A4" s="24" t="inlineStr">
        <is>
          <t>VIVO</t>
        </is>
      </c>
      <c r="B4" s="25" t="n"/>
      <c r="C4" s="25" t="n"/>
      <c r="D4" s="25" t="inlineStr">
        <is>
          <t>VIRGEM</t>
        </is>
      </c>
      <c r="E4" s="26" t="n"/>
      <c r="F4" s="25" t="n"/>
    </row>
    <row r="5">
      <c r="A5" s="24" t="inlineStr">
        <is>
          <t>VIVO</t>
        </is>
      </c>
      <c r="B5" s="25" t="n"/>
      <c r="C5" s="25" t="n"/>
      <c r="D5" s="25" t="inlineStr">
        <is>
          <t>VIRGEM</t>
        </is>
      </c>
      <c r="E5" s="26" t="n"/>
      <c r="F5" s="25" t="n"/>
    </row>
    <row r="6">
      <c r="A6" s="24" t="inlineStr">
        <is>
          <t>VIVO</t>
        </is>
      </c>
      <c r="B6" s="25" t="n"/>
      <c r="C6" s="25" t="n"/>
      <c r="D6" s="25" t="inlineStr">
        <is>
          <t>VIRGEM</t>
        </is>
      </c>
      <c r="E6" s="26" t="n"/>
      <c r="F6" s="25" t="n"/>
    </row>
    <row r="7">
      <c r="A7" s="24" t="inlineStr">
        <is>
          <t>VIVO</t>
        </is>
      </c>
      <c r="B7" s="25" t="n"/>
      <c r="C7" s="25" t="n"/>
      <c r="D7" s="25" t="inlineStr">
        <is>
          <t>VIRGEM</t>
        </is>
      </c>
      <c r="E7" s="26" t="n"/>
      <c r="F7" s="25" t="n"/>
    </row>
    <row r="8">
      <c r="A8" s="24" t="inlineStr">
        <is>
          <t>VIVO</t>
        </is>
      </c>
      <c r="B8" s="25" t="n"/>
      <c r="C8" s="25" t="n"/>
      <c r="D8" s="25" t="inlineStr">
        <is>
          <t>VIRGEM</t>
        </is>
      </c>
      <c r="E8" s="26" t="n"/>
      <c r="F8" s="25" t="n"/>
    </row>
    <row r="9">
      <c r="A9" s="24" t="inlineStr">
        <is>
          <t>VIVO</t>
        </is>
      </c>
      <c r="B9" s="25" t="n"/>
      <c r="C9" s="25" t="n"/>
      <c r="D9" s="25" t="inlineStr">
        <is>
          <t>VIRGEM</t>
        </is>
      </c>
      <c r="E9" s="26" t="n"/>
      <c r="F9" s="25" t="n"/>
    </row>
    <row r="10">
      <c r="A10" s="24" t="inlineStr">
        <is>
          <t>VIVO</t>
        </is>
      </c>
      <c r="B10" s="25" t="n"/>
      <c r="C10" s="25" t="n"/>
      <c r="D10" s="25" t="inlineStr">
        <is>
          <t>VIRGEM</t>
        </is>
      </c>
      <c r="E10" s="26" t="n"/>
      <c r="F10" s="25" t="n"/>
    </row>
    <row r="11">
      <c r="A11" s="24" t="inlineStr">
        <is>
          <t>VIVO</t>
        </is>
      </c>
      <c r="B11" s="25" t="n"/>
      <c r="C11" s="25" t="n"/>
      <c r="D11" s="25" t="inlineStr">
        <is>
          <t>VIRGEM</t>
        </is>
      </c>
      <c r="E11" s="26" t="n"/>
      <c r="F11" s="25" t="n"/>
    </row>
    <row r="12">
      <c r="A12" s="24" t="inlineStr">
        <is>
          <t>VIVO</t>
        </is>
      </c>
      <c r="B12" s="25" t="n"/>
      <c r="C12" s="25" t="n"/>
      <c r="D12" s="25" t="inlineStr">
        <is>
          <t>VIRGEM</t>
        </is>
      </c>
      <c r="E12" s="26" t="n"/>
      <c r="F12" s="25" t="n"/>
    </row>
    <row r="13">
      <c r="A13" s="24" t="inlineStr">
        <is>
          <t>VIVO</t>
        </is>
      </c>
      <c r="B13" s="25" t="n"/>
      <c r="C13" s="25" t="n"/>
      <c r="D13" s="25" t="inlineStr">
        <is>
          <t>VIRGEM</t>
        </is>
      </c>
      <c r="E13" s="26" t="n"/>
      <c r="F13" s="25" t="n"/>
    </row>
    <row r="14">
      <c r="A14" s="24" t="inlineStr">
        <is>
          <t>VIVO</t>
        </is>
      </c>
      <c r="B14" s="25" t="n"/>
      <c r="C14" s="25" t="n"/>
      <c r="D14" s="25" t="inlineStr">
        <is>
          <t>VIRGEM</t>
        </is>
      </c>
      <c r="E14" s="26" t="n"/>
      <c r="F14" s="25" t="n"/>
    </row>
    <row r="15">
      <c r="A15" s="24" t="inlineStr">
        <is>
          <t>VIVO</t>
        </is>
      </c>
      <c r="B15" s="25" t="n"/>
      <c r="C15" s="25" t="n"/>
      <c r="D15" s="25" t="inlineStr">
        <is>
          <t>VIRGEM</t>
        </is>
      </c>
      <c r="E15" s="26" t="n"/>
      <c r="F15" s="25" t="n"/>
    </row>
    <row r="16">
      <c r="A16" s="24" t="inlineStr">
        <is>
          <t>VIVO</t>
        </is>
      </c>
      <c r="B16" s="25" t="n"/>
      <c r="C16" s="25" t="n"/>
      <c r="D16" s="25" t="inlineStr">
        <is>
          <t>VIRGEM</t>
        </is>
      </c>
      <c r="E16" s="26" t="n"/>
      <c r="F16" s="25" t="n"/>
    </row>
    <row r="17">
      <c r="A17" s="24" t="inlineStr">
        <is>
          <t>VIVO</t>
        </is>
      </c>
      <c r="B17" s="25" t="n"/>
      <c r="C17" s="25" t="n"/>
      <c r="D17" s="25" t="inlineStr">
        <is>
          <t>VIRGEM</t>
        </is>
      </c>
      <c r="E17" s="26" t="n"/>
      <c r="F17" s="25" t="n"/>
    </row>
    <row r="18">
      <c r="A18" s="24" t="inlineStr">
        <is>
          <t>VIVO</t>
        </is>
      </c>
      <c r="B18" s="25" t="n"/>
      <c r="C18" s="25" t="n"/>
      <c r="D18" s="25" t="inlineStr">
        <is>
          <t>VIRGEM</t>
        </is>
      </c>
      <c r="E18" s="26" t="n"/>
      <c r="F18" s="25" t="n"/>
    </row>
    <row r="19">
      <c r="A19" s="24" t="inlineStr">
        <is>
          <t>VIVO</t>
        </is>
      </c>
      <c r="B19" s="25" t="n"/>
      <c r="C19" s="25" t="n"/>
      <c r="D19" s="25" t="inlineStr">
        <is>
          <t>VIRGEM</t>
        </is>
      </c>
      <c r="E19" s="26" t="n"/>
      <c r="F19" s="25" t="n"/>
    </row>
    <row r="20">
      <c r="A20" s="24" t="inlineStr">
        <is>
          <t>VIVO</t>
        </is>
      </c>
      <c r="B20" s="25" t="n"/>
      <c r="C20" s="25" t="n"/>
      <c r="D20" s="25" t="inlineStr">
        <is>
          <t>VIRGEM</t>
        </is>
      </c>
      <c r="E20" s="26" t="n"/>
      <c r="F20" s="25" t="n"/>
    </row>
    <row r="21">
      <c r="A21" s="24" t="inlineStr">
        <is>
          <t>VIVO</t>
        </is>
      </c>
      <c r="B21" s="25" t="n"/>
      <c r="C21" s="25" t="n"/>
      <c r="D21" s="25" t="inlineStr">
        <is>
          <t>VIRGEM</t>
        </is>
      </c>
      <c r="E21" s="26" t="n"/>
      <c r="F21" s="25" t="n"/>
    </row>
    <row r="22">
      <c r="A22" s="24" t="inlineStr">
        <is>
          <t>VIVO</t>
        </is>
      </c>
      <c r="B22" s="25" t="n"/>
      <c r="C22" s="25" t="n"/>
      <c r="D22" s="25" t="inlineStr">
        <is>
          <t>VIRGEM</t>
        </is>
      </c>
      <c r="E22" s="26" t="n"/>
      <c r="F22" s="25" t="n"/>
    </row>
    <row r="23">
      <c r="A23" s="24" t="inlineStr">
        <is>
          <t>VIVO</t>
        </is>
      </c>
      <c r="B23" s="25" t="n"/>
      <c r="C23" s="25" t="n"/>
      <c r="D23" s="25" t="inlineStr">
        <is>
          <t>VIRGEM</t>
        </is>
      </c>
      <c r="E23" s="26" t="n"/>
      <c r="F23" s="25" t="n"/>
    </row>
    <row r="24">
      <c r="A24" s="24" t="inlineStr">
        <is>
          <t>VIVO</t>
        </is>
      </c>
      <c r="B24" s="25" t="n"/>
      <c r="C24" s="25" t="n"/>
      <c r="D24" s="25" t="inlineStr">
        <is>
          <t>VIRGEM</t>
        </is>
      </c>
      <c r="E24" s="26" t="n"/>
      <c r="F24" s="25" t="n"/>
    </row>
    <row r="25">
      <c r="A25" s="24" t="inlineStr">
        <is>
          <t>VIVO</t>
        </is>
      </c>
      <c r="B25" s="25" t="n"/>
      <c r="C25" s="25" t="n"/>
      <c r="D25" s="25" t="inlineStr">
        <is>
          <t>VIRGEM</t>
        </is>
      </c>
      <c r="E25" s="26" t="n"/>
      <c r="F25" s="25" t="n"/>
    </row>
    <row r="26">
      <c r="A26" s="24" t="inlineStr">
        <is>
          <t>VIVO</t>
        </is>
      </c>
      <c r="B26" s="25" t="n"/>
      <c r="C26" s="25" t="n"/>
      <c r="D26" s="25" t="inlineStr">
        <is>
          <t>VIRGEM</t>
        </is>
      </c>
      <c r="E26" s="26" t="n"/>
      <c r="F26" s="25" t="n"/>
    </row>
    <row r="27">
      <c r="A27" s="24" t="inlineStr">
        <is>
          <t>VIVO</t>
        </is>
      </c>
      <c r="B27" s="25" t="n"/>
      <c r="C27" s="25" t="n"/>
      <c r="D27" s="25" t="inlineStr">
        <is>
          <t>VIRGEM</t>
        </is>
      </c>
      <c r="E27" s="26" t="n"/>
      <c r="F27" s="25" t="n"/>
    </row>
    <row r="28">
      <c r="A28" s="24" t="inlineStr">
        <is>
          <t>VIVO</t>
        </is>
      </c>
      <c r="B28" s="25" t="n"/>
      <c r="C28" s="25" t="n"/>
      <c r="D28" s="25" t="inlineStr">
        <is>
          <t>VIRGEM</t>
        </is>
      </c>
      <c r="E28" s="26" t="n"/>
      <c r="F28" s="25" t="n"/>
    </row>
    <row r="29">
      <c r="A29" s="24" t="inlineStr">
        <is>
          <t>VIVO</t>
        </is>
      </c>
      <c r="B29" s="25" t="n"/>
      <c r="C29" s="25" t="n"/>
      <c r="D29" s="25" t="inlineStr">
        <is>
          <t>VIRGEM</t>
        </is>
      </c>
      <c r="E29" s="26" t="n"/>
      <c r="F29" s="25" t="n"/>
    </row>
    <row r="30">
      <c r="A30" s="24" t="inlineStr">
        <is>
          <t>VIVO</t>
        </is>
      </c>
      <c r="B30" s="25" t="n"/>
      <c r="C30" s="25" t="n"/>
      <c r="D30" s="25" t="inlineStr">
        <is>
          <t>VIRGEM</t>
        </is>
      </c>
      <c r="E30" s="26" t="n"/>
      <c r="F30" s="25" t="n"/>
    </row>
    <row r="31">
      <c r="A31" s="24" t="inlineStr">
        <is>
          <t>VIVO</t>
        </is>
      </c>
      <c r="B31" s="25" t="n"/>
      <c r="C31" s="25" t="n"/>
      <c r="D31" s="25" t="inlineStr">
        <is>
          <t>VIRGEM</t>
        </is>
      </c>
      <c r="E31" s="26" t="n"/>
      <c r="F31" s="25" t="n"/>
    </row>
    <row r="32">
      <c r="A32" s="24" t="inlineStr">
        <is>
          <t>VIVO</t>
        </is>
      </c>
      <c r="B32" s="25" t="n"/>
      <c r="C32" s="25" t="n"/>
      <c r="D32" s="25" t="inlineStr">
        <is>
          <t>VIRGEM</t>
        </is>
      </c>
      <c r="E32" s="26" t="n"/>
      <c r="F32" s="25" t="n"/>
    </row>
    <row r="33">
      <c r="A33" s="24" t="inlineStr">
        <is>
          <t>VIVO</t>
        </is>
      </c>
      <c r="B33" s="25" t="n"/>
      <c r="C33" s="25" t="n"/>
      <c r="D33" s="25" t="inlineStr">
        <is>
          <t>VIRGEM</t>
        </is>
      </c>
      <c r="E33" s="26" t="n"/>
      <c r="F33" s="25" t="n"/>
    </row>
    <row r="34">
      <c r="A34" s="24" t="inlineStr">
        <is>
          <t>VIVO</t>
        </is>
      </c>
      <c r="B34" s="25" t="n"/>
      <c r="C34" s="25" t="n"/>
      <c r="D34" s="25" t="inlineStr">
        <is>
          <t>VIRGEM</t>
        </is>
      </c>
      <c r="E34" s="26" t="n"/>
      <c r="F34" s="25" t="n"/>
    </row>
    <row r="35">
      <c r="A35" s="24" t="inlineStr">
        <is>
          <t>VIVO</t>
        </is>
      </c>
      <c r="B35" s="25" t="n"/>
      <c r="C35" s="25" t="n"/>
      <c r="D35" s="25" t="inlineStr">
        <is>
          <t>VIRGEM</t>
        </is>
      </c>
      <c r="E35" s="26" t="n"/>
      <c r="F35" s="25" t="n"/>
    </row>
    <row r="36">
      <c r="A36" s="24" t="inlineStr">
        <is>
          <t>VIVO</t>
        </is>
      </c>
      <c r="B36" s="25" t="n"/>
      <c r="C36" s="25" t="n"/>
      <c r="D36" s="25" t="inlineStr">
        <is>
          <t>VIRGEM</t>
        </is>
      </c>
      <c r="E36" s="26" t="n"/>
      <c r="F36" s="25" t="n"/>
    </row>
    <row r="37">
      <c r="A37" s="24" t="inlineStr">
        <is>
          <t>VIVO</t>
        </is>
      </c>
      <c r="B37" s="25" t="n"/>
      <c r="C37" s="25" t="n"/>
      <c r="D37" s="25" t="inlineStr">
        <is>
          <t>VIRGEM</t>
        </is>
      </c>
      <c r="E37" s="26" t="n"/>
      <c r="F37" s="25" t="n"/>
    </row>
    <row r="38">
      <c r="A38" s="24" t="inlineStr">
        <is>
          <t>VIVO</t>
        </is>
      </c>
      <c r="B38" s="25" t="n"/>
      <c r="C38" s="25" t="n"/>
      <c r="D38" s="25" t="inlineStr">
        <is>
          <t>VIRGEM</t>
        </is>
      </c>
      <c r="E38" s="26" t="n"/>
      <c r="F38" s="25" t="n"/>
    </row>
    <row r="39">
      <c r="A39" s="24" t="inlineStr">
        <is>
          <t>VIVO</t>
        </is>
      </c>
      <c r="B39" s="25" t="n"/>
      <c r="C39" s="25" t="n"/>
      <c r="D39" s="25" t="inlineStr">
        <is>
          <t>VIRGEM</t>
        </is>
      </c>
      <c r="E39" s="26" t="n"/>
      <c r="F39" s="25" t="n"/>
    </row>
    <row r="40">
      <c r="A40" s="24" t="inlineStr">
        <is>
          <t>VIVO</t>
        </is>
      </c>
      <c r="B40" s="25" t="n"/>
      <c r="C40" s="25" t="n"/>
      <c r="D40" s="25" t="inlineStr">
        <is>
          <t>VIRGEM</t>
        </is>
      </c>
      <c r="E40" s="26" t="n"/>
      <c r="F40" s="25" t="n"/>
    </row>
    <row r="41">
      <c r="A41" s="24" t="inlineStr">
        <is>
          <t>VIVO</t>
        </is>
      </c>
      <c r="B41" s="25" t="n"/>
      <c r="C41" s="25" t="n"/>
      <c r="D41" s="25" t="inlineStr">
        <is>
          <t>VIRGEM</t>
        </is>
      </c>
      <c r="E41" s="26" t="n"/>
      <c r="F41" s="25" t="n"/>
    </row>
    <row r="42">
      <c r="A42" s="24" t="inlineStr">
        <is>
          <t>VIVO</t>
        </is>
      </c>
      <c r="B42" s="25" t="n"/>
      <c r="C42" s="25" t="n"/>
      <c r="D42" s="25" t="inlineStr">
        <is>
          <t>VIRGEM</t>
        </is>
      </c>
      <c r="E42" s="26" t="n"/>
      <c r="F42" s="25" t="n"/>
    </row>
    <row r="43">
      <c r="A43" s="24" t="inlineStr">
        <is>
          <t>VIVO</t>
        </is>
      </c>
      <c r="B43" s="25" t="n"/>
      <c r="C43" s="25" t="n"/>
      <c r="D43" s="25" t="inlineStr">
        <is>
          <t>VIRGEM</t>
        </is>
      </c>
      <c r="E43" s="26" t="n"/>
      <c r="F43" s="25" t="n"/>
    </row>
    <row r="44">
      <c r="A44" s="24" t="inlineStr">
        <is>
          <t>VIVO</t>
        </is>
      </c>
      <c r="B44" s="25" t="n"/>
      <c r="C44" s="25" t="n"/>
      <c r="D44" s="25" t="inlineStr">
        <is>
          <t>VIRGEM</t>
        </is>
      </c>
      <c r="E44" s="26" t="n"/>
      <c r="F44" s="25" t="n"/>
    </row>
    <row r="45">
      <c r="A45" s="24" t="inlineStr">
        <is>
          <t>VIVO</t>
        </is>
      </c>
      <c r="B45" s="25" t="n"/>
      <c r="C45" s="25" t="n"/>
      <c r="D45" s="25" t="inlineStr">
        <is>
          <t>VIRGEM</t>
        </is>
      </c>
      <c r="E45" s="26" t="n"/>
      <c r="F45" s="25" t="n"/>
    </row>
    <row r="46">
      <c r="A46" s="24" t="inlineStr">
        <is>
          <t>VIVO</t>
        </is>
      </c>
      <c r="B46" s="25" t="n"/>
      <c r="C46" s="25" t="n"/>
      <c r="D46" s="25" t="inlineStr">
        <is>
          <t>VIRGEM</t>
        </is>
      </c>
      <c r="E46" s="26" t="n"/>
      <c r="F46" s="25" t="n"/>
    </row>
    <row r="47">
      <c r="A47" s="24" t="inlineStr">
        <is>
          <t>VIVO</t>
        </is>
      </c>
      <c r="B47" s="25" t="n"/>
      <c r="C47" s="25" t="n"/>
      <c r="D47" s="25" t="inlineStr">
        <is>
          <t>VIRGEM</t>
        </is>
      </c>
      <c r="E47" s="26" t="n"/>
      <c r="F47" s="25" t="n"/>
    </row>
    <row r="48">
      <c r="A48" s="24" t="inlineStr">
        <is>
          <t>VIVO</t>
        </is>
      </c>
      <c r="B48" s="25" t="n"/>
      <c r="C48" s="25" t="n"/>
      <c r="D48" s="25" t="inlineStr">
        <is>
          <t>VIRGEM</t>
        </is>
      </c>
      <c r="E48" s="26" t="n"/>
      <c r="F48" s="25" t="n"/>
    </row>
    <row r="49">
      <c r="A49" s="24" t="inlineStr">
        <is>
          <t>VIVO</t>
        </is>
      </c>
      <c r="B49" s="25" t="n"/>
      <c r="C49" s="25" t="n"/>
      <c r="D49" s="25" t="inlineStr">
        <is>
          <t>VIRGEM</t>
        </is>
      </c>
      <c r="E49" s="26" t="n"/>
      <c r="F49" s="25" t="n"/>
    </row>
    <row r="50">
      <c r="A50" s="24" t="inlineStr">
        <is>
          <t>VIVO</t>
        </is>
      </c>
      <c r="B50" s="25" t="n"/>
      <c r="C50" s="25" t="n"/>
      <c r="D50" s="25" t="inlineStr">
        <is>
          <t>VIRGEM</t>
        </is>
      </c>
      <c r="E50" s="26" t="n"/>
      <c r="F50" s="25" t="n"/>
    </row>
    <row r="51">
      <c r="A51" s="24" t="inlineStr">
        <is>
          <t>VIVO</t>
        </is>
      </c>
      <c r="B51" s="25" t="n"/>
      <c r="C51" s="25" t="n"/>
      <c r="D51" s="25" t="inlineStr">
        <is>
          <t>VIRGEM</t>
        </is>
      </c>
      <c r="E51" s="26" t="n"/>
      <c r="F51" s="25" t="n"/>
    </row>
    <row r="52">
      <c r="A52" s="24" t="inlineStr">
        <is>
          <t>VIVO</t>
        </is>
      </c>
      <c r="B52" s="25" t="n"/>
      <c r="C52" s="25" t="n"/>
      <c r="D52" s="25" t="inlineStr">
        <is>
          <t>VIRGEM</t>
        </is>
      </c>
      <c r="E52" s="26" t="n"/>
      <c r="F52" s="25" t="n"/>
    </row>
    <row r="53">
      <c r="A53" s="24" t="inlineStr">
        <is>
          <t>VIVO</t>
        </is>
      </c>
      <c r="B53" s="25" t="n"/>
      <c r="C53" s="25" t="n"/>
      <c r="D53" s="25" t="inlineStr">
        <is>
          <t>VIRGEM</t>
        </is>
      </c>
      <c r="E53" s="26" t="n"/>
      <c r="F53" s="25" t="n"/>
    </row>
    <row r="54">
      <c r="A54" s="24" t="inlineStr">
        <is>
          <t>VIVO</t>
        </is>
      </c>
      <c r="B54" s="25" t="n"/>
      <c r="C54" s="25" t="n"/>
      <c r="D54" s="25" t="inlineStr">
        <is>
          <t>VIRGEM</t>
        </is>
      </c>
      <c r="E54" s="26" t="n"/>
      <c r="F54" s="25" t="n"/>
    </row>
    <row r="55">
      <c r="A55" s="24" t="inlineStr">
        <is>
          <t>VIVO</t>
        </is>
      </c>
      <c r="B55" s="25" t="n"/>
      <c r="C55" s="25" t="n"/>
      <c r="D55" s="25" t="inlineStr">
        <is>
          <t>VIRGEM</t>
        </is>
      </c>
      <c r="E55" s="26" t="n"/>
      <c r="F55" s="25" t="n"/>
    </row>
    <row r="56">
      <c r="A56" s="24" t="inlineStr">
        <is>
          <t>VIVO</t>
        </is>
      </c>
      <c r="B56" s="25" t="n"/>
      <c r="C56" s="25" t="n"/>
      <c r="D56" s="25" t="inlineStr">
        <is>
          <t>VIRGEM</t>
        </is>
      </c>
      <c r="E56" s="26" t="n"/>
      <c r="F56" s="25" t="n"/>
    </row>
    <row r="57">
      <c r="A57" s="24" t="inlineStr">
        <is>
          <t>VIVO</t>
        </is>
      </c>
      <c r="B57" s="25" t="n"/>
      <c r="C57" s="25" t="n"/>
      <c r="D57" s="25" t="inlineStr">
        <is>
          <t>VIRGEM</t>
        </is>
      </c>
      <c r="E57" s="26" t="n"/>
      <c r="F57" s="25" t="n"/>
    </row>
    <row r="58">
      <c r="A58" s="24" t="inlineStr">
        <is>
          <t>VIVO</t>
        </is>
      </c>
      <c r="B58" s="25" t="n"/>
      <c r="C58" s="25" t="n"/>
      <c r="D58" s="25" t="inlineStr">
        <is>
          <t>VIRGEM</t>
        </is>
      </c>
      <c r="E58" s="26" t="n"/>
      <c r="F58" s="25" t="n"/>
    </row>
    <row r="59">
      <c r="A59" s="24" t="inlineStr">
        <is>
          <t>VIVO</t>
        </is>
      </c>
      <c r="B59" s="25" t="n"/>
      <c r="C59" s="25" t="n"/>
      <c r="D59" s="25" t="inlineStr">
        <is>
          <t>VIRGEM</t>
        </is>
      </c>
      <c r="E59" s="26" t="n"/>
      <c r="F59" s="25" t="n"/>
    </row>
    <row r="60">
      <c r="A60" s="24" t="inlineStr">
        <is>
          <t>TIM</t>
        </is>
      </c>
      <c r="B60" s="25" t="inlineStr">
        <is>
          <t>15981472390</t>
        </is>
      </c>
      <c r="C60" s="25" t="n"/>
      <c r="D60" s="25" t="inlineStr">
        <is>
          <t>SEPARADO</t>
        </is>
      </c>
      <c r="E60" s="26" t="n"/>
      <c r="F60" s="25" t="n"/>
    </row>
    <row r="61">
      <c r="A61" s="24" t="inlineStr">
        <is>
          <t>TIM</t>
        </is>
      </c>
      <c r="B61" s="25" t="inlineStr">
        <is>
          <t>15981471586</t>
        </is>
      </c>
      <c r="C61" s="25" t="n"/>
      <c r="D61" s="25" t="inlineStr">
        <is>
          <t>SEPARADO</t>
        </is>
      </c>
      <c r="E61" s="26" t="n"/>
      <c r="F61" s="25" t="n"/>
    </row>
    <row r="62">
      <c r="A62" s="24" t="inlineStr">
        <is>
          <t>TIM</t>
        </is>
      </c>
      <c r="B62" s="25" t="inlineStr">
        <is>
          <t>15981470154</t>
        </is>
      </c>
      <c r="C62" s="25" t="n"/>
      <c r="D62" s="25" t="inlineStr">
        <is>
          <t>SEPARADO</t>
        </is>
      </c>
      <c r="E62" s="26" t="n"/>
      <c r="F62" s="25" t="n"/>
    </row>
    <row r="63">
      <c r="A63" s="24" t="inlineStr">
        <is>
          <t>TIM</t>
        </is>
      </c>
      <c r="B63" s="25" t="inlineStr">
        <is>
          <t>15981740808</t>
        </is>
      </c>
      <c r="C63" s="25" t="n"/>
      <c r="D63" s="25" t="inlineStr">
        <is>
          <t>SEPARADO</t>
        </is>
      </c>
      <c r="E63" s="26" t="n"/>
      <c r="F63" s="25" t="n"/>
    </row>
    <row r="64">
      <c r="A64" s="24" t="inlineStr">
        <is>
          <t>TIM</t>
        </is>
      </c>
      <c r="B64" s="25" t="inlineStr">
        <is>
          <t>15981471527</t>
        </is>
      </c>
      <c r="C64" s="25" t="n"/>
      <c r="D64" s="25" t="inlineStr">
        <is>
          <t>SEPARADO</t>
        </is>
      </c>
      <c r="E64" s="27" t="n"/>
      <c r="F64" s="25" t="n"/>
    </row>
    <row r="65">
      <c r="A65" s="24" t="inlineStr">
        <is>
          <t>TIM</t>
        </is>
      </c>
      <c r="B65" s="25" t="inlineStr">
        <is>
          <t>16982220089</t>
        </is>
      </c>
      <c r="C65" s="25" t="n"/>
      <c r="D65" s="25" t="inlineStr">
        <is>
          <t>SEPARADO</t>
        </is>
      </c>
      <c r="E65" s="26" t="n"/>
      <c r="F65" s="25" t="n"/>
    </row>
    <row r="66">
      <c r="A66" s="24" t="inlineStr">
        <is>
          <t>TIM</t>
        </is>
      </c>
      <c r="B66" s="25" t="inlineStr">
        <is>
          <t>15981267534</t>
        </is>
      </c>
      <c r="C66" s="25" t="n"/>
      <c r="D66" s="25" t="inlineStr">
        <is>
          <t>SEPARADO</t>
        </is>
      </c>
      <c r="E66" s="26" t="n"/>
      <c r="F66" s="25" t="n"/>
    </row>
    <row r="67">
      <c r="A67" s="24" t="inlineStr">
        <is>
          <t>TIM</t>
        </is>
      </c>
      <c r="B67" s="25" t="inlineStr">
        <is>
          <t>15981580163</t>
        </is>
      </c>
      <c r="C67" s="25" t="n"/>
      <c r="D67" s="25" t="inlineStr">
        <is>
          <t>SEPARADO</t>
        </is>
      </c>
      <c r="E67" s="26" t="n"/>
      <c r="F67" s="25" t="n"/>
    </row>
    <row r="68">
      <c r="A68" s="24" t="inlineStr">
        <is>
          <t>TIM</t>
        </is>
      </c>
      <c r="B68" s="25" t="inlineStr">
        <is>
          <t>15981860103</t>
        </is>
      </c>
      <c r="C68" s="25" t="n"/>
      <c r="D68" s="25" t="inlineStr">
        <is>
          <t>SEPARADO</t>
        </is>
      </c>
      <c r="E68" s="26" t="n"/>
      <c r="F68" s="25" t="n"/>
    </row>
    <row r="69">
      <c r="A69" s="24" t="inlineStr">
        <is>
          <t>TIM</t>
        </is>
      </c>
      <c r="B69" s="25" t="inlineStr">
        <is>
          <t>15981910053</t>
        </is>
      </c>
      <c r="C69" s="25" t="n"/>
      <c r="D69" s="25" t="inlineStr">
        <is>
          <t>SEPARADO</t>
        </is>
      </c>
      <c r="E69" s="26" t="n"/>
      <c r="F69" s="25" t="n"/>
    </row>
    <row r="70">
      <c r="A70" s="24" t="inlineStr">
        <is>
          <t>TIM</t>
        </is>
      </c>
      <c r="B70" s="25" t="n"/>
      <c r="C70" s="25" t="n"/>
      <c r="D70" s="25" t="inlineStr">
        <is>
          <t>VIRGEM</t>
        </is>
      </c>
      <c r="E70" s="26" t="n"/>
      <c r="F70" s="25" t="n"/>
    </row>
    <row r="71">
      <c r="A71" s="24" t="inlineStr">
        <is>
          <t>TIM</t>
        </is>
      </c>
      <c r="B71" s="25" t="n"/>
      <c r="C71" s="25" t="n"/>
      <c r="D71" s="25" t="inlineStr">
        <is>
          <t>VIRGEM</t>
        </is>
      </c>
      <c r="E71" s="26" t="n"/>
      <c r="F71" s="25" t="n"/>
    </row>
    <row r="72">
      <c r="A72" s="24" t="inlineStr">
        <is>
          <t>TIM</t>
        </is>
      </c>
      <c r="B72" s="25" t="n"/>
      <c r="C72" s="28" t="n"/>
      <c r="D72" s="25" t="inlineStr">
        <is>
          <t>VIRGEM</t>
        </is>
      </c>
      <c r="E72" s="26" t="n"/>
      <c r="F72" s="25" t="n"/>
    </row>
    <row r="73">
      <c r="A73" s="24" t="inlineStr">
        <is>
          <t>TIM</t>
        </is>
      </c>
      <c r="B73" s="25" t="n"/>
      <c r="C73" s="25" t="n"/>
      <c r="D73" s="25" t="inlineStr">
        <is>
          <t>VIRGEM</t>
        </is>
      </c>
      <c r="E73" s="26" t="n"/>
      <c r="F73" s="25" t="n"/>
    </row>
    <row r="74">
      <c r="A74" s="24" t="inlineStr">
        <is>
          <t>TIM</t>
        </is>
      </c>
      <c r="B74" s="25" t="n"/>
      <c r="C74" s="25" t="n"/>
      <c r="D74" s="25" t="inlineStr">
        <is>
          <t>VIRGEM</t>
        </is>
      </c>
      <c r="E74" s="26" t="n"/>
      <c r="F74" s="25" t="n"/>
    </row>
    <row r="75">
      <c r="A75" s="29" t="inlineStr">
        <is>
          <t>TIM</t>
        </is>
      </c>
      <c r="B75" s="30" t="n"/>
      <c r="C75" s="30" t="n"/>
      <c r="D75" s="30" t="inlineStr">
        <is>
          <t>VIRGEM</t>
        </is>
      </c>
      <c r="E75" s="31" t="n"/>
      <c r="F75" s="30" t="n"/>
    </row>
  </sheetData>
  <conditionalFormatting sqref="A2:C75 E2:E75">
    <cfRule type="expression" priority="15" dxfId="4">
      <formula>$A2="VIVO"</formula>
    </cfRule>
    <cfRule type="expression" priority="16" dxfId="3">
      <formula>$A2="TIM"</formula>
    </cfRule>
  </conditionalFormatting>
  <conditionalFormatting sqref="D2:D75">
    <cfRule type="expression" priority="19" dxfId="2">
      <formula>$D2="VIRGEM"</formula>
    </cfRule>
    <cfRule type="expression" priority="20" dxfId="1">
      <formula>$D2="RETIRADA"</formula>
    </cfRule>
    <cfRule type="expression" priority="21" dxfId="0">
      <formula>$D2="SEPARADO"</formula>
    </cfRule>
  </conditionalFormatting>
  <dataValidations count="1">
    <dataValidation sqref="D2:D942" showDropDown="0" showInputMessage="1" showErrorMessage="1" allowBlank="1" errorTitle="Status inválido" error="Use apenas: VIRGEM, SEPARADO ou RETIRADA." promptTitle="Status do chip" prompt="Escolha: VIRGEM, SEPARADO ou RETIRADA." type="list">
      <formula1>"VIRGEM,SEPARADO,RETIRADA"</formula1>
    </dataValidation>
  </dataValidation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 Julia Garcia</dc:creator>
  <dcterms:created xsi:type="dcterms:W3CDTF">2015-06-05T18:19:34Z</dcterms:created>
  <dcterms:modified xsi:type="dcterms:W3CDTF">2026-08-18T13:24:29Z</dcterms:modified>
  <cp:lastModifiedBy>Pedro Gois | TI</cp:lastModifiedBy>
</cp:coreProperties>
</file>